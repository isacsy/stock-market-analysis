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tHub\stock-market-analysis\"/>
    </mc:Choice>
  </mc:AlternateContent>
  <xr:revisionPtr revIDLastSave="0" documentId="13_ncr:1_{8CF2276C-721B-41E0-8AF0-2F332653DFFB}" xr6:coauthVersionLast="47" xr6:coauthVersionMax="47" xr10:uidLastSave="{00000000-0000-0000-0000-000000000000}"/>
  <bookViews>
    <workbookView xWindow="-108" yWindow="-108" windowWidth="23256" windowHeight="12456" xr2:uid="{80C2A77C-946A-4723-97CA-31603980CA92}"/>
  </bookViews>
  <sheets>
    <sheet name="Analysis" sheetId="2" r:id="rId1"/>
    <sheet name="Apple Stock Price History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2" l="1"/>
  <c r="B4" i="2"/>
  <c r="C4" i="2" s="1"/>
  <c r="B5" i="2"/>
  <c r="C5" i="2" s="1"/>
  <c r="B6" i="2"/>
  <c r="B7" i="2"/>
  <c r="B8" i="2"/>
  <c r="B9" i="2"/>
  <c r="B10" i="2"/>
  <c r="B11" i="2"/>
  <c r="B12" i="2"/>
  <c r="B13" i="2"/>
  <c r="C13" i="2" s="1"/>
  <c r="B14" i="2"/>
  <c r="B15" i="2"/>
  <c r="B16" i="2"/>
  <c r="B17" i="2"/>
  <c r="B18" i="2"/>
  <c r="B19" i="2"/>
  <c r="B20" i="2"/>
  <c r="C20" i="2" s="1"/>
  <c r="B21" i="2"/>
  <c r="B22" i="2"/>
  <c r="B23" i="2"/>
  <c r="B24" i="2"/>
  <c r="B25" i="2"/>
  <c r="B26" i="2"/>
  <c r="B27" i="2"/>
  <c r="B28" i="2"/>
  <c r="C28" i="2" s="1"/>
  <c r="B29" i="2"/>
  <c r="C29" i="2" s="1"/>
  <c r="B30" i="2"/>
  <c r="B31" i="2"/>
  <c r="B32" i="2"/>
  <c r="B33" i="2"/>
  <c r="B34" i="2"/>
  <c r="B35" i="2"/>
  <c r="B36" i="2"/>
  <c r="C36" i="2" s="1"/>
  <c r="B37" i="2"/>
  <c r="B38" i="2"/>
  <c r="B39" i="2"/>
  <c r="B40" i="2"/>
  <c r="B41" i="2"/>
  <c r="B42" i="2"/>
  <c r="B43" i="2"/>
  <c r="B44" i="2"/>
  <c r="C44" i="2" s="1"/>
  <c r="B45" i="2"/>
  <c r="B46" i="2"/>
  <c r="B47" i="2"/>
  <c r="B48" i="2"/>
  <c r="B49" i="2"/>
  <c r="B50" i="2"/>
  <c r="B51" i="2"/>
  <c r="B52" i="2"/>
  <c r="C52" i="2" s="1"/>
  <c r="B53" i="2"/>
  <c r="B54" i="2"/>
  <c r="B55" i="2"/>
  <c r="B56" i="2"/>
  <c r="B57" i="2"/>
  <c r="B58" i="2"/>
  <c r="B59" i="2"/>
  <c r="B60" i="2"/>
  <c r="C60" i="2" s="1"/>
  <c r="B61" i="2"/>
  <c r="B62" i="2"/>
  <c r="B63" i="2"/>
  <c r="B64" i="2"/>
  <c r="B65" i="2"/>
  <c r="B66" i="2"/>
  <c r="B67" i="2"/>
  <c r="B68" i="2"/>
  <c r="C68" i="2" s="1"/>
  <c r="B69" i="2"/>
  <c r="B70" i="2"/>
  <c r="B71" i="2"/>
  <c r="B72" i="2"/>
  <c r="B73" i="2"/>
  <c r="B74" i="2"/>
  <c r="B75" i="2"/>
  <c r="B76" i="2"/>
  <c r="C76" i="2" s="1"/>
  <c r="B77" i="2"/>
  <c r="B78" i="2"/>
  <c r="B79" i="2"/>
  <c r="B80" i="2"/>
  <c r="B81" i="2"/>
  <c r="B82" i="2"/>
  <c r="B83" i="2"/>
  <c r="B84" i="2"/>
  <c r="C84" i="2" s="1"/>
  <c r="B85" i="2"/>
  <c r="B86" i="2"/>
  <c r="B87" i="2"/>
  <c r="B88" i="2"/>
  <c r="B89" i="2"/>
  <c r="B90" i="2"/>
  <c r="B91" i="2"/>
  <c r="B92" i="2"/>
  <c r="C92" i="2" s="1"/>
  <c r="B93" i="2"/>
  <c r="B94" i="2"/>
  <c r="B95" i="2"/>
  <c r="B96" i="2"/>
  <c r="B97" i="2"/>
  <c r="B98" i="2"/>
  <c r="B99" i="2"/>
  <c r="B100" i="2"/>
  <c r="C100" i="2" s="1"/>
  <c r="B101" i="2"/>
  <c r="B102" i="2"/>
  <c r="B103" i="2"/>
  <c r="B104" i="2"/>
  <c r="B105" i="2"/>
  <c r="B106" i="2"/>
  <c r="B107" i="2"/>
  <c r="B108" i="2"/>
  <c r="C108" i="2" s="1"/>
  <c r="B109" i="2"/>
  <c r="B110" i="2"/>
  <c r="B111" i="2"/>
  <c r="B112" i="2"/>
  <c r="B113" i="2"/>
  <c r="B114" i="2"/>
  <c r="B115" i="2"/>
  <c r="B116" i="2"/>
  <c r="C116" i="2" s="1"/>
  <c r="B117" i="2"/>
  <c r="B118" i="2"/>
  <c r="B119" i="2"/>
  <c r="B120" i="2"/>
  <c r="B121" i="2"/>
  <c r="B122" i="2"/>
  <c r="B123" i="2"/>
  <c r="B124" i="2"/>
  <c r="C124" i="2" s="1"/>
  <c r="B125" i="2"/>
  <c r="B126" i="2"/>
  <c r="B127" i="2"/>
  <c r="B128" i="2"/>
  <c r="B129" i="2"/>
  <c r="B130" i="2"/>
  <c r="B131" i="2"/>
  <c r="B132" i="2"/>
  <c r="C132" i="2" s="1"/>
  <c r="B133" i="2"/>
  <c r="B134" i="2"/>
  <c r="B135" i="2"/>
  <c r="B136" i="2"/>
  <c r="B137" i="2"/>
  <c r="B138" i="2"/>
  <c r="B139" i="2"/>
  <c r="B140" i="2"/>
  <c r="C140" i="2" s="1"/>
  <c r="B141" i="2"/>
  <c r="B142" i="2"/>
  <c r="B143" i="2"/>
  <c r="B144" i="2"/>
  <c r="B145" i="2"/>
  <c r="B146" i="2"/>
  <c r="B147" i="2"/>
  <c r="B148" i="2"/>
  <c r="C148" i="2" s="1"/>
  <c r="B149" i="2"/>
  <c r="B150" i="2"/>
  <c r="B151" i="2"/>
  <c r="B152" i="2"/>
  <c r="B153" i="2"/>
  <c r="B154" i="2"/>
  <c r="B155" i="2"/>
  <c r="B156" i="2"/>
  <c r="C156" i="2" s="1"/>
  <c r="B157" i="2"/>
  <c r="B158" i="2"/>
  <c r="B159" i="2"/>
  <c r="B160" i="2"/>
  <c r="B161" i="2"/>
  <c r="B162" i="2"/>
  <c r="B163" i="2"/>
  <c r="B164" i="2"/>
  <c r="C164" i="2" s="1"/>
  <c r="B165" i="2"/>
  <c r="B166" i="2"/>
  <c r="B167" i="2"/>
  <c r="B168" i="2"/>
  <c r="B169" i="2"/>
  <c r="B170" i="2"/>
  <c r="B171" i="2"/>
  <c r="B172" i="2"/>
  <c r="C172" i="2" s="1"/>
  <c r="B173" i="2"/>
  <c r="B174" i="2"/>
  <c r="B175" i="2"/>
  <c r="B176" i="2"/>
  <c r="B177" i="2"/>
  <c r="B178" i="2"/>
  <c r="B179" i="2"/>
  <c r="B180" i="2"/>
  <c r="C180" i="2" s="1"/>
  <c r="B181" i="2"/>
  <c r="B182" i="2"/>
  <c r="B183" i="2"/>
  <c r="B184" i="2"/>
  <c r="B185" i="2"/>
  <c r="B186" i="2"/>
  <c r="B187" i="2"/>
  <c r="B188" i="2"/>
  <c r="C188" i="2" s="1"/>
  <c r="B189" i="2"/>
  <c r="B190" i="2"/>
  <c r="B191" i="2"/>
  <c r="B192" i="2"/>
  <c r="B193" i="2"/>
  <c r="B194" i="2"/>
  <c r="B195" i="2"/>
  <c r="B196" i="2"/>
  <c r="C196" i="2" s="1"/>
  <c r="B197" i="2"/>
  <c r="B198" i="2"/>
  <c r="B199" i="2"/>
  <c r="B200" i="2"/>
  <c r="B201" i="2"/>
  <c r="B202" i="2"/>
  <c r="B203" i="2"/>
  <c r="B204" i="2"/>
  <c r="C204" i="2" s="1"/>
  <c r="B205" i="2"/>
  <c r="B206" i="2"/>
  <c r="B207" i="2"/>
  <c r="B208" i="2"/>
  <c r="B209" i="2"/>
  <c r="B210" i="2"/>
  <c r="B211" i="2"/>
  <c r="B212" i="2"/>
  <c r="C212" i="2" s="1"/>
  <c r="B213" i="2"/>
  <c r="B214" i="2"/>
  <c r="B215" i="2"/>
  <c r="B216" i="2"/>
  <c r="B217" i="2"/>
  <c r="B218" i="2"/>
  <c r="B219" i="2"/>
  <c r="B220" i="2"/>
  <c r="C220" i="2" s="1"/>
  <c r="B221" i="2"/>
  <c r="B222" i="2"/>
  <c r="B223" i="2"/>
  <c r="B224" i="2"/>
  <c r="B225" i="2"/>
  <c r="B226" i="2"/>
  <c r="B227" i="2"/>
  <c r="B228" i="2"/>
  <c r="C228" i="2" s="1"/>
  <c r="B229" i="2"/>
  <c r="B230" i="2"/>
  <c r="B231" i="2"/>
  <c r="B232" i="2"/>
  <c r="B233" i="2"/>
  <c r="B234" i="2"/>
  <c r="B235" i="2"/>
  <c r="B236" i="2"/>
  <c r="C236" i="2" s="1"/>
  <c r="B237" i="2"/>
  <c r="B238" i="2"/>
  <c r="B239" i="2"/>
  <c r="B240" i="2"/>
  <c r="B241" i="2"/>
  <c r="B242" i="2"/>
  <c r="B243" i="2"/>
  <c r="B244" i="2"/>
  <c r="C244" i="2" s="1"/>
  <c r="B245" i="2"/>
  <c r="B246" i="2"/>
  <c r="B247" i="2"/>
  <c r="B248" i="2"/>
  <c r="B249" i="2"/>
  <c r="B250" i="2"/>
  <c r="B251" i="2"/>
  <c r="B252" i="2"/>
  <c r="C252" i="2" s="1"/>
  <c r="B253" i="2"/>
  <c r="B2" i="2"/>
  <c r="A252" i="2"/>
  <c r="A253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" i="2"/>
  <c r="C85" i="2" l="1"/>
  <c r="E242" i="2"/>
  <c r="F248" i="2"/>
  <c r="F240" i="2"/>
  <c r="F232" i="2"/>
  <c r="C53" i="2"/>
  <c r="E252" i="2"/>
  <c r="E244" i="2"/>
  <c r="E236" i="2"/>
  <c r="E228" i="2"/>
  <c r="E220" i="2"/>
  <c r="E212" i="2"/>
  <c r="E204" i="2"/>
  <c r="E196" i="2"/>
  <c r="E188" i="2"/>
  <c r="E180" i="2"/>
  <c r="E172" i="2"/>
  <c r="E164" i="2"/>
  <c r="E156" i="2"/>
  <c r="E148" i="2"/>
  <c r="E140" i="2"/>
  <c r="E132" i="2"/>
  <c r="E124" i="2"/>
  <c r="E116" i="2"/>
  <c r="E108" i="2"/>
  <c r="E100" i="2"/>
  <c r="E92" i="2"/>
  <c r="E84" i="2"/>
  <c r="E76" i="2"/>
  <c r="E68" i="2"/>
  <c r="E60" i="2"/>
  <c r="E52" i="2"/>
  <c r="E44" i="2"/>
  <c r="E36" i="2"/>
  <c r="E28" i="2"/>
  <c r="C248" i="2"/>
  <c r="C232" i="2"/>
  <c r="C224" i="2"/>
  <c r="C208" i="2"/>
  <c r="C192" i="2"/>
  <c r="C184" i="2"/>
  <c r="C168" i="2"/>
  <c r="C160" i="2"/>
  <c r="C144" i="2"/>
  <c r="C128" i="2"/>
  <c r="C120" i="2"/>
  <c r="C104" i="2"/>
  <c r="C96" i="2"/>
  <c r="C80" i="2"/>
  <c r="C64" i="2"/>
  <c r="C56" i="2"/>
  <c r="C40" i="2"/>
  <c r="C32" i="2"/>
  <c r="C8" i="2"/>
  <c r="F224" i="2"/>
  <c r="F216" i="2"/>
  <c r="F208" i="2"/>
  <c r="F200" i="2"/>
  <c r="F192" i="2"/>
  <c r="F184" i="2"/>
  <c r="F176" i="2"/>
  <c r="F168" i="2"/>
  <c r="F160" i="2"/>
  <c r="F152" i="2"/>
  <c r="F144" i="2"/>
  <c r="F136" i="2"/>
  <c r="F128" i="2"/>
  <c r="E250" i="2"/>
  <c r="E234" i="2"/>
  <c r="E233" i="2"/>
  <c r="E218" i="2"/>
  <c r="E253" i="2"/>
  <c r="E237" i="2"/>
  <c r="F249" i="2"/>
  <c r="E195" i="2"/>
  <c r="F201" i="2"/>
  <c r="F185" i="2"/>
  <c r="F161" i="2"/>
  <c r="F137" i="2"/>
  <c r="F121" i="2"/>
  <c r="F97" i="2"/>
  <c r="F73" i="2"/>
  <c r="F65" i="2"/>
  <c r="F120" i="2"/>
  <c r="F112" i="2"/>
  <c r="F104" i="2"/>
  <c r="F96" i="2"/>
  <c r="F88" i="2"/>
  <c r="F80" i="2"/>
  <c r="F72" i="2"/>
  <c r="F64" i="2"/>
  <c r="F56" i="2"/>
  <c r="E226" i="2"/>
  <c r="F235" i="2"/>
  <c r="F239" i="2"/>
  <c r="E209" i="2"/>
  <c r="E178" i="2"/>
  <c r="F215" i="2"/>
  <c r="F211" i="2"/>
  <c r="E185" i="2"/>
  <c r="F187" i="2"/>
  <c r="F191" i="2"/>
  <c r="E154" i="2"/>
  <c r="E161" i="2"/>
  <c r="F171" i="2"/>
  <c r="F175" i="2"/>
  <c r="E145" i="2"/>
  <c r="E114" i="2"/>
  <c r="F151" i="2"/>
  <c r="F147" i="2"/>
  <c r="E121" i="2"/>
  <c r="E106" i="2"/>
  <c r="F143" i="2"/>
  <c r="E113" i="2"/>
  <c r="F139" i="2"/>
  <c r="F131" i="2"/>
  <c r="F135" i="2"/>
  <c r="E98" i="2"/>
  <c r="E105" i="2"/>
  <c r="F127" i="2"/>
  <c r="F123" i="2"/>
  <c r="E90" i="2"/>
  <c r="E97" i="2"/>
  <c r="F107" i="2"/>
  <c r="F111" i="2"/>
  <c r="E81" i="2"/>
  <c r="E74" i="2"/>
  <c r="E58" i="2"/>
  <c r="F91" i="2"/>
  <c r="F95" i="2"/>
  <c r="E65" i="2"/>
  <c r="E50" i="2"/>
  <c r="F87" i="2"/>
  <c r="F83" i="2"/>
  <c r="E57" i="2"/>
  <c r="F79" i="2"/>
  <c r="E42" i="2"/>
  <c r="E49" i="2"/>
  <c r="F75" i="2"/>
  <c r="F71" i="2"/>
  <c r="E34" i="2"/>
  <c r="F67" i="2"/>
  <c r="E41" i="2"/>
  <c r="F63" i="2"/>
  <c r="F59" i="2"/>
  <c r="E26" i="2"/>
  <c r="E33" i="2"/>
  <c r="C6" i="2"/>
  <c r="F55" i="2"/>
  <c r="E25" i="2"/>
  <c r="E241" i="2"/>
  <c r="F243" i="2"/>
  <c r="F247" i="2"/>
  <c r="E217" i="2"/>
  <c r="F219" i="2"/>
  <c r="F223" i="2"/>
  <c r="E186" i="2"/>
  <c r="E193" i="2"/>
  <c r="E162" i="2"/>
  <c r="F199" i="2"/>
  <c r="E169" i="2"/>
  <c r="F195" i="2"/>
  <c r="F163" i="2"/>
  <c r="F167" i="2"/>
  <c r="E130" i="2"/>
  <c r="E137" i="2"/>
  <c r="F119" i="2"/>
  <c r="F115" i="2"/>
  <c r="E82" i="2"/>
  <c r="E89" i="2"/>
  <c r="E210" i="2"/>
  <c r="D11" i="2"/>
  <c r="F51" i="2"/>
  <c r="E21" i="2"/>
  <c r="E249" i="2"/>
  <c r="E225" i="2"/>
  <c r="F251" i="2"/>
  <c r="F231" i="2"/>
  <c r="F227" i="2"/>
  <c r="E201" i="2"/>
  <c r="E170" i="2"/>
  <c r="F207" i="2"/>
  <c r="F203" i="2"/>
  <c r="E177" i="2"/>
  <c r="F183" i="2"/>
  <c r="F179" i="2"/>
  <c r="E146" i="2"/>
  <c r="E153" i="2"/>
  <c r="E122" i="2"/>
  <c r="F159" i="2"/>
  <c r="F155" i="2"/>
  <c r="E129" i="2"/>
  <c r="E66" i="2"/>
  <c r="F99" i="2"/>
  <c r="F103" i="2"/>
  <c r="E73" i="2"/>
  <c r="F70" i="2"/>
  <c r="F61" i="2"/>
  <c r="E202" i="2"/>
  <c r="E246" i="2"/>
  <c r="E238" i="2"/>
  <c r="E230" i="2"/>
  <c r="F252" i="2"/>
  <c r="F244" i="2"/>
  <c r="F236" i="2"/>
  <c r="F228" i="2"/>
  <c r="F220" i="2"/>
  <c r="F212" i="2"/>
  <c r="F204" i="2"/>
  <c r="F196" i="2"/>
  <c r="F188" i="2"/>
  <c r="F180" i="2"/>
  <c r="F172" i="2"/>
  <c r="F164" i="2"/>
  <c r="F156" i="2"/>
  <c r="F148" i="2"/>
  <c r="F140" i="2"/>
  <c r="F132" i="2"/>
  <c r="F124" i="2"/>
  <c r="F116" i="2"/>
  <c r="F108" i="2"/>
  <c r="F100" i="2"/>
  <c r="F92" i="2"/>
  <c r="F84" i="2"/>
  <c r="F76" i="2"/>
  <c r="F68" i="2"/>
  <c r="F60" i="2"/>
  <c r="F52" i="2"/>
  <c r="E194" i="2"/>
  <c r="E245" i="2"/>
  <c r="E229" i="2"/>
  <c r="E221" i="2"/>
  <c r="E213" i="2"/>
  <c r="E205" i="2"/>
  <c r="E197" i="2"/>
  <c r="E189" i="2"/>
  <c r="E181" i="2"/>
  <c r="E173" i="2"/>
  <c r="E165" i="2"/>
  <c r="E157" i="2"/>
  <c r="E149" i="2"/>
  <c r="E141" i="2"/>
  <c r="E133" i="2"/>
  <c r="E125" i="2"/>
  <c r="E117" i="2"/>
  <c r="E109" i="2"/>
  <c r="E101" i="2"/>
  <c r="E93" i="2"/>
  <c r="E85" i="2"/>
  <c r="E77" i="2"/>
  <c r="E69" i="2"/>
  <c r="E61" i="2"/>
  <c r="E53" i="2"/>
  <c r="E45" i="2"/>
  <c r="E37" i="2"/>
  <c r="E29" i="2"/>
  <c r="E138" i="2"/>
  <c r="I4" i="2"/>
  <c r="C246" i="2"/>
  <c r="C237" i="2"/>
  <c r="C230" i="2"/>
  <c r="C222" i="2"/>
  <c r="C214" i="2"/>
  <c r="C206" i="2"/>
  <c r="C197" i="2"/>
  <c r="C190" i="2"/>
  <c r="C182" i="2"/>
  <c r="C174" i="2"/>
  <c r="C166" i="2"/>
  <c r="C157" i="2"/>
  <c r="C150" i="2"/>
  <c r="C142" i="2"/>
  <c r="C134" i="2"/>
  <c r="C125" i="2"/>
  <c r="C118" i="2"/>
  <c r="C110" i="2"/>
  <c r="C102" i="2"/>
  <c r="C94" i="2"/>
  <c r="C78" i="2"/>
  <c r="C70" i="2"/>
  <c r="C62" i="2"/>
  <c r="C46" i="2"/>
  <c r="C38" i="2"/>
  <c r="F250" i="2"/>
  <c r="F242" i="2"/>
  <c r="F234" i="2"/>
  <c r="F226" i="2"/>
  <c r="F218" i="2"/>
  <c r="F210" i="2"/>
  <c r="F202" i="2"/>
  <c r="F194" i="2"/>
  <c r="F186" i="2"/>
  <c r="F178" i="2"/>
  <c r="F170" i="2"/>
  <c r="F162" i="2"/>
  <c r="F154" i="2"/>
  <c r="F146" i="2"/>
  <c r="F138" i="2"/>
  <c r="F130" i="2"/>
  <c r="F122" i="2"/>
  <c r="F114" i="2"/>
  <c r="F106" i="2"/>
  <c r="F98" i="2"/>
  <c r="F90" i="2"/>
  <c r="F82" i="2"/>
  <c r="F74" i="2"/>
  <c r="F66" i="2"/>
  <c r="F58" i="2"/>
  <c r="E248" i="2"/>
  <c r="E240" i="2"/>
  <c r="E232" i="2"/>
  <c r="E224" i="2"/>
  <c r="E216" i="2"/>
  <c r="E208" i="2"/>
  <c r="E200" i="2"/>
  <c r="E192" i="2"/>
  <c r="E184" i="2"/>
  <c r="E176" i="2"/>
  <c r="E168" i="2"/>
  <c r="E160" i="2"/>
  <c r="E152" i="2"/>
  <c r="E144" i="2"/>
  <c r="E136" i="2"/>
  <c r="E128" i="2"/>
  <c r="E120" i="2"/>
  <c r="E112" i="2"/>
  <c r="E104" i="2"/>
  <c r="E96" i="2"/>
  <c r="E88" i="2"/>
  <c r="E80" i="2"/>
  <c r="E72" i="2"/>
  <c r="E64" i="2"/>
  <c r="E56" i="2"/>
  <c r="E48" i="2"/>
  <c r="E40" i="2"/>
  <c r="E32" i="2"/>
  <c r="E24" i="2"/>
  <c r="F241" i="2"/>
  <c r="F233" i="2"/>
  <c r="F225" i="2"/>
  <c r="F217" i="2"/>
  <c r="F209" i="2"/>
  <c r="F193" i="2"/>
  <c r="F177" i="2"/>
  <c r="F169" i="2"/>
  <c r="F153" i="2"/>
  <c r="F145" i="2"/>
  <c r="F129" i="2"/>
  <c r="F113" i="2"/>
  <c r="F105" i="2"/>
  <c r="F89" i="2"/>
  <c r="F81" i="2"/>
  <c r="F57" i="2"/>
  <c r="E247" i="2"/>
  <c r="E239" i="2"/>
  <c r="E231" i="2"/>
  <c r="E223" i="2"/>
  <c r="E215" i="2"/>
  <c r="E207" i="2"/>
  <c r="E199" i="2"/>
  <c r="E191" i="2"/>
  <c r="E183" i="2"/>
  <c r="E175" i="2"/>
  <c r="E167" i="2"/>
  <c r="E159" i="2"/>
  <c r="E151" i="2"/>
  <c r="E143" i="2"/>
  <c r="E135" i="2"/>
  <c r="E127" i="2"/>
  <c r="E119" i="2"/>
  <c r="E111" i="2"/>
  <c r="E103" i="2"/>
  <c r="E95" i="2"/>
  <c r="E87" i="2"/>
  <c r="E79" i="2"/>
  <c r="E71" i="2"/>
  <c r="E63" i="2"/>
  <c r="E55" i="2"/>
  <c r="E47" i="2"/>
  <c r="E39" i="2"/>
  <c r="E31" i="2"/>
  <c r="E23" i="2"/>
  <c r="E222" i="2"/>
  <c r="E214" i="2"/>
  <c r="E206" i="2"/>
  <c r="E198" i="2"/>
  <c r="E190" i="2"/>
  <c r="E182" i="2"/>
  <c r="E174" i="2"/>
  <c r="E166" i="2"/>
  <c r="E158" i="2"/>
  <c r="E150" i="2"/>
  <c r="E142" i="2"/>
  <c r="E134" i="2"/>
  <c r="E126" i="2"/>
  <c r="E118" i="2"/>
  <c r="E110" i="2"/>
  <c r="E102" i="2"/>
  <c r="E94" i="2"/>
  <c r="E86" i="2"/>
  <c r="E78" i="2"/>
  <c r="E70" i="2"/>
  <c r="E62" i="2"/>
  <c r="E54" i="2"/>
  <c r="E46" i="2"/>
  <c r="E38" i="2"/>
  <c r="E30" i="2"/>
  <c r="E22" i="2"/>
  <c r="F246" i="2"/>
  <c r="F238" i="2"/>
  <c r="F230" i="2"/>
  <c r="F222" i="2"/>
  <c r="F214" i="2"/>
  <c r="F206" i="2"/>
  <c r="F198" i="2"/>
  <c r="F190" i="2"/>
  <c r="F182" i="2"/>
  <c r="F174" i="2"/>
  <c r="F166" i="2"/>
  <c r="F158" i="2"/>
  <c r="F150" i="2"/>
  <c r="F142" i="2"/>
  <c r="F134" i="2"/>
  <c r="F126" i="2"/>
  <c r="F118" i="2"/>
  <c r="F110" i="2"/>
  <c r="F102" i="2"/>
  <c r="F94" i="2"/>
  <c r="F86" i="2"/>
  <c r="F78" i="2"/>
  <c r="F62" i="2"/>
  <c r="F54" i="2"/>
  <c r="D249" i="2"/>
  <c r="D225" i="2"/>
  <c r="D209" i="2"/>
  <c r="D161" i="2"/>
  <c r="D145" i="2"/>
  <c r="D121" i="2"/>
  <c r="D97" i="2"/>
  <c r="D81" i="2"/>
  <c r="D57" i="2"/>
  <c r="D33" i="2"/>
  <c r="D25" i="2"/>
  <c r="F253" i="2"/>
  <c r="F245" i="2"/>
  <c r="F237" i="2"/>
  <c r="F229" i="2"/>
  <c r="F221" i="2"/>
  <c r="F213" i="2"/>
  <c r="F205" i="2"/>
  <c r="F197" i="2"/>
  <c r="F189" i="2"/>
  <c r="F181" i="2"/>
  <c r="F173" i="2"/>
  <c r="F165" i="2"/>
  <c r="F157" i="2"/>
  <c r="F149" i="2"/>
  <c r="F141" i="2"/>
  <c r="F133" i="2"/>
  <c r="F125" i="2"/>
  <c r="F117" i="2"/>
  <c r="F109" i="2"/>
  <c r="F101" i="2"/>
  <c r="F93" i="2"/>
  <c r="F85" i="2"/>
  <c r="F77" i="2"/>
  <c r="F69" i="2"/>
  <c r="F53" i="2"/>
  <c r="C247" i="2"/>
  <c r="C231" i="2"/>
  <c r="C207" i="2"/>
  <c r="C191" i="2"/>
  <c r="C183" i="2"/>
  <c r="C167" i="2"/>
  <c r="C143" i="2"/>
  <c r="C119" i="2"/>
  <c r="C103" i="2"/>
  <c r="C79" i="2"/>
  <c r="C55" i="2"/>
  <c r="C39" i="2"/>
  <c r="C31" i="2"/>
  <c r="E251" i="2"/>
  <c r="E243" i="2"/>
  <c r="E235" i="2"/>
  <c r="E227" i="2"/>
  <c r="E219" i="2"/>
  <c r="E211" i="2"/>
  <c r="E203" i="2"/>
  <c r="E187" i="2"/>
  <c r="E179" i="2"/>
  <c r="E171" i="2"/>
  <c r="E163" i="2"/>
  <c r="E155" i="2"/>
  <c r="E147" i="2"/>
  <c r="E139" i="2"/>
  <c r="E131" i="2"/>
  <c r="E123" i="2"/>
  <c r="E115" i="2"/>
  <c r="E107" i="2"/>
  <c r="E99" i="2"/>
  <c r="E91" i="2"/>
  <c r="E83" i="2"/>
  <c r="E75" i="2"/>
  <c r="E67" i="2"/>
  <c r="E59" i="2"/>
  <c r="E51" i="2"/>
  <c r="E43" i="2"/>
  <c r="E35" i="2"/>
  <c r="E27" i="2"/>
  <c r="C249" i="2"/>
  <c r="D250" i="2"/>
  <c r="C233" i="2"/>
  <c r="C225" i="2"/>
  <c r="D226" i="2"/>
  <c r="C209" i="2"/>
  <c r="C201" i="2"/>
  <c r="C193" i="2"/>
  <c r="C185" i="2"/>
  <c r="D186" i="2"/>
  <c r="C169" i="2"/>
  <c r="C161" i="2"/>
  <c r="D162" i="2"/>
  <c r="C145" i="2"/>
  <c r="C137" i="2"/>
  <c r="C129" i="2"/>
  <c r="C121" i="2"/>
  <c r="D122" i="2"/>
  <c r="C105" i="2"/>
  <c r="C97" i="2"/>
  <c r="D98" i="2"/>
  <c r="C81" i="2"/>
  <c r="C73" i="2"/>
  <c r="C65" i="2"/>
  <c r="C57" i="2"/>
  <c r="D58" i="2"/>
  <c r="C41" i="2"/>
  <c r="C33" i="2"/>
  <c r="C25" i="2"/>
  <c r="C17" i="2"/>
  <c r="C9" i="2"/>
  <c r="D232" i="2"/>
  <c r="D120" i="2"/>
  <c r="D16" i="2"/>
  <c r="D247" i="2"/>
  <c r="D239" i="2"/>
  <c r="D231" i="2"/>
  <c r="D223" i="2"/>
  <c r="D215" i="2"/>
  <c r="D207" i="2"/>
  <c r="D199" i="2"/>
  <c r="D191" i="2"/>
  <c r="D183" i="2"/>
  <c r="D175" i="2"/>
  <c r="D167" i="2"/>
  <c r="D159" i="2"/>
  <c r="D151" i="2"/>
  <c r="D143" i="2"/>
  <c r="D135" i="2"/>
  <c r="D127" i="2"/>
  <c r="D119" i="2"/>
  <c r="D111" i="2"/>
  <c r="D103" i="2"/>
  <c r="D95" i="2"/>
  <c r="D87" i="2"/>
  <c r="D79" i="2"/>
  <c r="D71" i="2"/>
  <c r="D63" i="2"/>
  <c r="D55" i="2"/>
  <c r="D47" i="2"/>
  <c r="D39" i="2"/>
  <c r="D31" i="2"/>
  <c r="D23" i="2"/>
  <c r="D168" i="2"/>
  <c r="D80" i="2"/>
  <c r="D32" i="2"/>
  <c r="C21" i="2"/>
  <c r="D185" i="2"/>
  <c r="D160" i="2"/>
  <c r="D104" i="2"/>
  <c r="D24" i="2"/>
  <c r="C12" i="2"/>
  <c r="D248" i="2"/>
  <c r="D224" i="2"/>
  <c r="D184" i="2"/>
  <c r="D136" i="2"/>
  <c r="D96" i="2"/>
  <c r="D56" i="2"/>
  <c r="D12" i="2"/>
  <c r="D208" i="2"/>
  <c r="D144" i="2"/>
  <c r="D72" i="2"/>
  <c r="D251" i="2"/>
  <c r="D243" i="2"/>
  <c r="D235" i="2"/>
  <c r="D227" i="2"/>
  <c r="D219" i="2"/>
  <c r="D211" i="2"/>
  <c r="D203" i="2"/>
  <c r="D195" i="2"/>
  <c r="D187" i="2"/>
  <c r="D179" i="2"/>
  <c r="D171" i="2"/>
  <c r="D163" i="2"/>
  <c r="D155" i="2"/>
  <c r="D147" i="2"/>
  <c r="D139" i="2"/>
  <c r="D131" i="2"/>
  <c r="D123" i="2"/>
  <c r="D115" i="2"/>
  <c r="D107" i="2"/>
  <c r="D99" i="2"/>
  <c r="D91" i="2"/>
  <c r="D83" i="2"/>
  <c r="D75" i="2"/>
  <c r="D67" i="2"/>
  <c r="D59" i="2"/>
  <c r="D51" i="2"/>
  <c r="D43" i="2"/>
  <c r="D35" i="2"/>
  <c r="D27" i="2"/>
  <c r="C10" i="2"/>
  <c r="C241" i="2"/>
  <c r="C223" i="2"/>
  <c r="C200" i="2"/>
  <c r="C177" i="2"/>
  <c r="C159" i="2"/>
  <c r="C136" i="2"/>
  <c r="C113" i="2"/>
  <c r="C95" i="2"/>
  <c r="C72" i="2"/>
  <c r="C49" i="2"/>
  <c r="C24" i="2"/>
  <c r="D19" i="2"/>
  <c r="C240" i="2"/>
  <c r="C217" i="2"/>
  <c r="C199" i="2"/>
  <c r="C176" i="2"/>
  <c r="C153" i="2"/>
  <c r="C135" i="2"/>
  <c r="C112" i="2"/>
  <c r="C89" i="2"/>
  <c r="C71" i="2"/>
  <c r="C48" i="2"/>
  <c r="C23" i="2"/>
  <c r="D242" i="2"/>
  <c r="D234" i="2"/>
  <c r="D218" i="2"/>
  <c r="D210" i="2"/>
  <c r="D202" i="2"/>
  <c r="D194" i="2"/>
  <c r="D178" i="2"/>
  <c r="D170" i="2"/>
  <c r="D154" i="2"/>
  <c r="D146" i="2"/>
  <c r="D138" i="2"/>
  <c r="D130" i="2"/>
  <c r="D114" i="2"/>
  <c r="D106" i="2"/>
  <c r="D90" i="2"/>
  <c r="D82" i="2"/>
  <c r="D74" i="2"/>
  <c r="D66" i="2"/>
  <c r="D50" i="2"/>
  <c r="D42" i="2"/>
  <c r="D34" i="2"/>
  <c r="D26" i="2"/>
  <c r="D18" i="2"/>
  <c r="C239" i="2"/>
  <c r="C216" i="2"/>
  <c r="C175" i="2"/>
  <c r="C152" i="2"/>
  <c r="C111" i="2"/>
  <c r="C88" i="2"/>
  <c r="C47" i="2"/>
  <c r="C16" i="2"/>
  <c r="D241" i="2"/>
  <c r="D233" i="2"/>
  <c r="D217" i="2"/>
  <c r="D201" i="2"/>
  <c r="D193" i="2"/>
  <c r="D177" i="2"/>
  <c r="D169" i="2"/>
  <c r="D153" i="2"/>
  <c r="D137" i="2"/>
  <c r="D129" i="2"/>
  <c r="D113" i="2"/>
  <c r="D105" i="2"/>
  <c r="D89" i="2"/>
  <c r="D73" i="2"/>
  <c r="D65" i="2"/>
  <c r="D49" i="2"/>
  <c r="D41" i="2"/>
  <c r="D17" i="2"/>
  <c r="C251" i="2"/>
  <c r="C243" i="2"/>
  <c r="C235" i="2"/>
  <c r="C227" i="2"/>
  <c r="C219" i="2"/>
  <c r="C211" i="2"/>
  <c r="C203" i="2"/>
  <c r="C195" i="2"/>
  <c r="C187" i="2"/>
  <c r="C179" i="2"/>
  <c r="C171" i="2"/>
  <c r="C163" i="2"/>
  <c r="C155" i="2"/>
  <c r="C147" i="2"/>
  <c r="C139" i="2"/>
  <c r="C131" i="2"/>
  <c r="C123" i="2"/>
  <c r="C115" i="2"/>
  <c r="C107" i="2"/>
  <c r="C99" i="2"/>
  <c r="C91" i="2"/>
  <c r="C83" i="2"/>
  <c r="C75" i="2"/>
  <c r="C67" i="2"/>
  <c r="C59" i="2"/>
  <c r="C51" i="2"/>
  <c r="C43" i="2"/>
  <c r="C35" i="2"/>
  <c r="C27" i="2"/>
  <c r="C19" i="2"/>
  <c r="C11" i="2"/>
  <c r="C215" i="2"/>
  <c r="C151" i="2"/>
  <c r="C87" i="2"/>
  <c r="C15" i="2"/>
  <c r="D240" i="2"/>
  <c r="D216" i="2"/>
  <c r="D200" i="2"/>
  <c r="D192" i="2"/>
  <c r="D176" i="2"/>
  <c r="D152" i="2"/>
  <c r="D128" i="2"/>
  <c r="D112" i="2"/>
  <c r="D88" i="2"/>
  <c r="D64" i="2"/>
  <c r="D48" i="2"/>
  <c r="D40" i="2"/>
  <c r="C250" i="2"/>
  <c r="C242" i="2"/>
  <c r="C234" i="2"/>
  <c r="C226" i="2"/>
  <c r="C218" i="2"/>
  <c r="C210" i="2"/>
  <c r="C202" i="2"/>
  <c r="C194" i="2"/>
  <c r="C186" i="2"/>
  <c r="C178" i="2"/>
  <c r="C170" i="2"/>
  <c r="C162" i="2"/>
  <c r="C154" i="2"/>
  <c r="C146" i="2"/>
  <c r="C138" i="2"/>
  <c r="C130" i="2"/>
  <c r="C122" i="2"/>
  <c r="C114" i="2"/>
  <c r="C106" i="2"/>
  <c r="C98" i="2"/>
  <c r="C90" i="2"/>
  <c r="C82" i="2"/>
  <c r="C74" i="2"/>
  <c r="C66" i="2"/>
  <c r="C58" i="2"/>
  <c r="C50" i="2"/>
  <c r="C42" i="2"/>
  <c r="C34" i="2"/>
  <c r="C26" i="2"/>
  <c r="C18" i="2"/>
  <c r="C3" i="2"/>
  <c r="C127" i="2"/>
  <c r="C63" i="2"/>
  <c r="C7" i="2"/>
  <c r="D15" i="2"/>
  <c r="D246" i="2"/>
  <c r="D238" i="2"/>
  <c r="D230" i="2"/>
  <c r="D222" i="2"/>
  <c r="D214" i="2"/>
  <c r="D206" i="2"/>
  <c r="D198" i="2"/>
  <c r="D190" i="2"/>
  <c r="D182" i="2"/>
  <c r="D174" i="2"/>
  <c r="D166" i="2"/>
  <c r="D158" i="2"/>
  <c r="D150" i="2"/>
  <c r="D142" i="2"/>
  <c r="D134" i="2"/>
  <c r="D126" i="2"/>
  <c r="D118" i="2"/>
  <c r="D110" i="2"/>
  <c r="D102" i="2"/>
  <c r="D94" i="2"/>
  <c r="D86" i="2"/>
  <c r="D78" i="2"/>
  <c r="D70" i="2"/>
  <c r="D62" i="2"/>
  <c r="D54" i="2"/>
  <c r="D46" i="2"/>
  <c r="D38" i="2"/>
  <c r="D30" i="2"/>
  <c r="D22" i="2"/>
  <c r="D14" i="2"/>
  <c r="D253" i="2"/>
  <c r="D245" i="2"/>
  <c r="D237" i="2"/>
  <c r="D229" i="2"/>
  <c r="D221" i="2"/>
  <c r="D213" i="2"/>
  <c r="D205" i="2"/>
  <c r="D197" i="2"/>
  <c r="D189" i="2"/>
  <c r="D181" i="2"/>
  <c r="D173" i="2"/>
  <c r="D165" i="2"/>
  <c r="D157" i="2"/>
  <c r="D149" i="2"/>
  <c r="D141" i="2"/>
  <c r="D133" i="2"/>
  <c r="D125" i="2"/>
  <c r="D117" i="2"/>
  <c r="D109" i="2"/>
  <c r="D101" i="2"/>
  <c r="D93" i="2"/>
  <c r="D85" i="2"/>
  <c r="D77" i="2"/>
  <c r="D69" i="2"/>
  <c r="D61" i="2"/>
  <c r="D53" i="2"/>
  <c r="D45" i="2"/>
  <c r="D37" i="2"/>
  <c r="D29" i="2"/>
  <c r="D21" i="2"/>
  <c r="D13" i="2"/>
  <c r="D252" i="2"/>
  <c r="D244" i="2"/>
  <c r="D236" i="2"/>
  <c r="D228" i="2"/>
  <c r="D220" i="2"/>
  <c r="D212" i="2"/>
  <c r="D204" i="2"/>
  <c r="D196" i="2"/>
  <c r="D188" i="2"/>
  <c r="D180" i="2"/>
  <c r="D172" i="2"/>
  <c r="D164" i="2"/>
  <c r="D156" i="2"/>
  <c r="D148" i="2"/>
  <c r="D140" i="2"/>
  <c r="D132" i="2"/>
  <c r="D124" i="2"/>
  <c r="D116" i="2"/>
  <c r="D108" i="2"/>
  <c r="D100" i="2"/>
  <c r="D92" i="2"/>
  <c r="D84" i="2"/>
  <c r="D76" i="2"/>
  <c r="D68" i="2"/>
  <c r="D60" i="2"/>
  <c r="D52" i="2"/>
  <c r="D44" i="2"/>
  <c r="D36" i="2"/>
  <c r="D28" i="2"/>
  <c r="D20" i="2"/>
  <c r="C30" i="2"/>
  <c r="C22" i="2"/>
  <c r="C14" i="2"/>
  <c r="C238" i="2"/>
  <c r="C198" i="2"/>
  <c r="C158" i="2"/>
  <c r="C126" i="2"/>
  <c r="C86" i="2"/>
  <c r="C54" i="2"/>
  <c r="C253" i="2"/>
  <c r="C245" i="2"/>
  <c r="C229" i="2"/>
  <c r="C221" i="2"/>
  <c r="C213" i="2"/>
  <c r="C205" i="2"/>
  <c r="C189" i="2"/>
  <c r="C181" i="2"/>
  <c r="C173" i="2"/>
  <c r="C165" i="2"/>
  <c r="C149" i="2"/>
  <c r="C141" i="2"/>
  <c r="C133" i="2"/>
  <c r="C117" i="2"/>
  <c r="C109" i="2"/>
  <c r="C101" i="2"/>
  <c r="C93" i="2"/>
  <c r="C77" i="2"/>
  <c r="C69" i="2"/>
  <c r="C61" i="2"/>
  <c r="C45" i="2"/>
  <c r="C37" i="2"/>
  <c r="I3" i="2" l="1"/>
  <c r="I5" i="2"/>
  <c r="I2" i="2"/>
</calcChain>
</file>

<file path=xl/sharedStrings.xml><?xml version="1.0" encoding="utf-8"?>
<sst xmlns="http://schemas.openxmlformats.org/spreadsheetml/2006/main" count="356" uniqueCount="270">
  <si>
    <t>Date</t>
  </si>
  <si>
    <t>Price</t>
  </si>
  <si>
    <t>Open</t>
  </si>
  <si>
    <t>High</t>
  </si>
  <si>
    <t>Low</t>
  </si>
  <si>
    <t>Vol.</t>
  </si>
  <si>
    <t>Change %</t>
  </si>
  <si>
    <t>38.16M</t>
  </si>
  <si>
    <t>33.40M</t>
  </si>
  <si>
    <t>43.25M</t>
  </si>
  <si>
    <t>50.21M</t>
  </si>
  <si>
    <t>36.59M</t>
  </si>
  <si>
    <t>61.44M</t>
  </si>
  <si>
    <t>43.32M</t>
  </si>
  <si>
    <t>49.91M</t>
  </si>
  <si>
    <t>48.37M</t>
  </si>
  <si>
    <t>36.23M</t>
  </si>
  <si>
    <t>31.29M</t>
  </si>
  <si>
    <t>28.12M</t>
  </si>
  <si>
    <t>41.03M</t>
  </si>
  <si>
    <t>62.15M</t>
  </si>
  <si>
    <t>29.33M</t>
  </si>
  <si>
    <t>40.06M</t>
  </si>
  <si>
    <t>49.60M</t>
  </si>
  <si>
    <t>39.45M</t>
  </si>
  <si>
    <t>47.90M</t>
  </si>
  <si>
    <t>41.80M</t>
  </si>
  <si>
    <t>28.48M</t>
  </si>
  <si>
    <t>45.15M</t>
  </si>
  <si>
    <t>40.55M</t>
  </si>
  <si>
    <t>88.33M</t>
  </si>
  <si>
    <t>34.86M</t>
  </si>
  <si>
    <t>35.76M</t>
  </si>
  <si>
    <t>32.36M</t>
  </si>
  <si>
    <t>32.07M</t>
  </si>
  <si>
    <t>36.93M</t>
  </si>
  <si>
    <t>40.79M</t>
  </si>
  <si>
    <t>26.22M</t>
  </si>
  <si>
    <t>30.59M</t>
  </si>
  <si>
    <t>38.22M</t>
  </si>
  <si>
    <t>41.12M</t>
  </si>
  <si>
    <t>49.66M</t>
  </si>
  <si>
    <t>39.80M</t>
  </si>
  <si>
    <t>38.57M</t>
  </si>
  <si>
    <t>41.83M</t>
  </si>
  <si>
    <t>72.37M</t>
  </si>
  <si>
    <t>32.35M</t>
  </si>
  <si>
    <t>33.71M</t>
  </si>
  <si>
    <t>47.01M</t>
  </si>
  <si>
    <t>37.31M</t>
  </si>
  <si>
    <t>42.07M</t>
  </si>
  <si>
    <t>30.85M</t>
  </si>
  <si>
    <t>34.20M</t>
  </si>
  <si>
    <t>58.47M</t>
  </si>
  <si>
    <t>56.29M</t>
  </si>
  <si>
    <t>81.08M</t>
  </si>
  <si>
    <t>51.93M</t>
  </si>
  <si>
    <t>34.38M</t>
  </si>
  <si>
    <t>44.62M</t>
  </si>
  <si>
    <t>50.45M</t>
  </si>
  <si>
    <t>52.98M</t>
  </si>
  <si>
    <t>90.55M</t>
  </si>
  <si>
    <t>64.39M</t>
  </si>
  <si>
    <t>73.91M</t>
  </si>
  <si>
    <t>92.44M</t>
  </si>
  <si>
    <t>67.25M</t>
  </si>
  <si>
    <t>41.29M</t>
  </si>
  <si>
    <t>49.65M</t>
  </si>
  <si>
    <t>55.97M</t>
  </si>
  <si>
    <t>41.69M</t>
  </si>
  <si>
    <t>39.71M</t>
  </si>
  <si>
    <t>54.64M</t>
  </si>
  <si>
    <t>80.27M</t>
  </si>
  <si>
    <t>72.14M</t>
  </si>
  <si>
    <t>39.39M</t>
  </si>
  <si>
    <t>40.02M</t>
  </si>
  <si>
    <t>45.73M</t>
  </si>
  <si>
    <t>45.26M</t>
  </si>
  <si>
    <t>40.00M</t>
  </si>
  <si>
    <t>50.42M</t>
  </si>
  <si>
    <t>48.31M</t>
  </si>
  <si>
    <t>52.35M</t>
  </si>
  <si>
    <t>45.65M</t>
  </si>
  <si>
    <t>37.84M</t>
  </si>
  <si>
    <t>27.29M</t>
  </si>
  <si>
    <t>22.14M</t>
  </si>
  <si>
    <t>23.72M</t>
  </si>
  <si>
    <t>21.52M</t>
  </si>
  <si>
    <t>17.91M</t>
  </si>
  <si>
    <t>29.64M</t>
  </si>
  <si>
    <t>36.57M</t>
  </si>
  <si>
    <t>144.63M</t>
  </si>
  <si>
    <t>51.63M</t>
  </si>
  <si>
    <t>50.14M</t>
  </si>
  <si>
    <t>37.65M</t>
  </si>
  <si>
    <t>50.41M</t>
  </si>
  <si>
    <t>39.53M</t>
  </si>
  <si>
    <t>33.25M</t>
  </si>
  <si>
    <t>33.04M</t>
  </si>
  <si>
    <t>32.19M</t>
  </si>
  <si>
    <t>38.21M</t>
  </si>
  <si>
    <t>47.27M</t>
  </si>
  <si>
    <t>43.99M</t>
  </si>
  <si>
    <t>43.54M</t>
  </si>
  <si>
    <t>53.67M</t>
  </si>
  <si>
    <t>46.59M</t>
  </si>
  <si>
    <t>20.14M</t>
  </si>
  <si>
    <t>33.43M</t>
  </si>
  <si>
    <t>46.91M</t>
  </si>
  <si>
    <t>65.59M</t>
  </si>
  <si>
    <t>59.03M</t>
  </si>
  <si>
    <t>45.82M</t>
  </si>
  <si>
    <t>40.42M</t>
  </si>
  <si>
    <t>45.68M</t>
  </si>
  <si>
    <t>45.02M</t>
  </si>
  <si>
    <t>47.43M</t>
  </si>
  <si>
    <t>48.40M</t>
  </si>
  <si>
    <t>46.21M</t>
  </si>
  <si>
    <t>41.31M</t>
  </si>
  <si>
    <t>48.23M</t>
  </si>
  <si>
    <t>51.20M</t>
  </si>
  <si>
    <t>43.68M</t>
  </si>
  <si>
    <t>49.27M</t>
  </si>
  <si>
    <t>50.19M</t>
  </si>
  <si>
    <t>86.17M</t>
  </si>
  <si>
    <t>69.89M</t>
  </si>
  <si>
    <t>51.09M</t>
  </si>
  <si>
    <t>41.53M</t>
  </si>
  <si>
    <t>44.89M</t>
  </si>
  <si>
    <t>38.25M</t>
  </si>
  <si>
    <t>32.75M</t>
  </si>
  <si>
    <t>46.70M</t>
  </si>
  <si>
    <t>90.48M</t>
  </si>
  <si>
    <t>49.15M</t>
  </si>
  <si>
    <t>39.78M</t>
  </si>
  <si>
    <t>33.89M</t>
  </si>
  <si>
    <t>35.48M</t>
  </si>
  <si>
    <t>38.14M</t>
  </si>
  <si>
    <t>62.00M</t>
  </si>
  <si>
    <t>38.32M</t>
  </si>
  <si>
    <t>36.50M</t>
  </si>
  <si>
    <t>31.96M</t>
  </si>
  <si>
    <t>44.66M</t>
  </si>
  <si>
    <t>49.16M</t>
  </si>
  <si>
    <t>42.63M</t>
  </si>
  <si>
    <t>48.71M</t>
  </si>
  <si>
    <t>37.70M</t>
  </si>
  <si>
    <t>40.13M</t>
  </si>
  <si>
    <t>46.08M</t>
  </si>
  <si>
    <t>55.20M</t>
  </si>
  <si>
    <t>42.30M</t>
  </si>
  <si>
    <t>60.28M</t>
  </si>
  <si>
    <t>105.52M</t>
  </si>
  <si>
    <t>163.74M</t>
  </si>
  <si>
    <t>44.25M</t>
  </si>
  <si>
    <t>46.51M</t>
  </si>
  <si>
    <t>63.42M</t>
  </si>
  <si>
    <t>42.70M</t>
  </si>
  <si>
    <t>55.82M</t>
  </si>
  <si>
    <t>83.44M</t>
  </si>
  <si>
    <t>66.31M</t>
  </si>
  <si>
    <t>49.00M</t>
  </si>
  <si>
    <t>54.87M</t>
  </si>
  <si>
    <t>47.55M</t>
  </si>
  <si>
    <t>66.43M</t>
  </si>
  <si>
    <t>44.08M</t>
  </si>
  <si>
    <t>39.42M</t>
  </si>
  <si>
    <t>38.07M</t>
  </si>
  <si>
    <t>31.26M</t>
  </si>
  <si>
    <t>54.58M</t>
  </si>
  <si>
    <t>30.98M</t>
  </si>
  <si>
    <t>42.48M</t>
  </si>
  <si>
    <t>30.62M</t>
  </si>
  <si>
    <t>42.26M</t>
  </si>
  <si>
    <t>39.40M</t>
  </si>
  <si>
    <t>37.48M</t>
  </si>
  <si>
    <t>56.04M</t>
  </si>
  <si>
    <t>51.92M</t>
  </si>
  <si>
    <t>69.88M</t>
  </si>
  <si>
    <t>55.67M</t>
  </si>
  <si>
    <t>61.81M</t>
  </si>
  <si>
    <t>113.85M</t>
  </si>
  <si>
    <t>90.22M</t>
  </si>
  <si>
    <t>108.48M</t>
  </si>
  <si>
    <t>44.16M</t>
  </si>
  <si>
    <t>75.11M</t>
  </si>
  <si>
    <t>104.43M</t>
  </si>
  <si>
    <t>80.70M</t>
  </si>
  <si>
    <t>45.51M</t>
  </si>
  <si>
    <t>51.41M</t>
  </si>
  <si>
    <t>37.86M</t>
  </si>
  <si>
    <t>40.27M</t>
  </si>
  <si>
    <t>46.02M</t>
  </si>
  <si>
    <t>46.99M</t>
  </si>
  <si>
    <t>46.40M</t>
  </si>
  <si>
    <t>51.38M</t>
  </si>
  <si>
    <t>48.97M</t>
  </si>
  <si>
    <t>48.07M</t>
  </si>
  <si>
    <t>47.49M</t>
  </si>
  <si>
    <t>38.84M</t>
  </si>
  <si>
    <t>39.77M</t>
  </si>
  <si>
    <t>44.44M</t>
  </si>
  <si>
    <t>48.75M</t>
  </si>
  <si>
    <t>42.85M</t>
  </si>
  <si>
    <t>50.23M</t>
  </si>
  <si>
    <t>34.96M</t>
  </si>
  <si>
    <t>67.94M</t>
  </si>
  <si>
    <t>78.79M</t>
  </si>
  <si>
    <t>91.91M</t>
  </si>
  <si>
    <t>73.19M</t>
  </si>
  <si>
    <t>50.80M</t>
  </si>
  <si>
    <t>54.06M</t>
  </si>
  <si>
    <t>55.81M</t>
  </si>
  <si>
    <t>96.81M</t>
  </si>
  <si>
    <t>45.39M</t>
  </si>
  <si>
    <t>38.86M</t>
  </si>
  <si>
    <t>43.02M</t>
  </si>
  <si>
    <t>51.45M</t>
  </si>
  <si>
    <t>43.90M</t>
  </si>
  <si>
    <t>60.99M</t>
  </si>
  <si>
    <t>54.67M</t>
  </si>
  <si>
    <t>72.86M</t>
  </si>
  <si>
    <t>46.61M</t>
  </si>
  <si>
    <t>55.22M</t>
  </si>
  <si>
    <t>43.60M</t>
  </si>
  <si>
    <t>46.38M</t>
  </si>
  <si>
    <t>35.42M</t>
  </si>
  <si>
    <t>70.82M</t>
  </si>
  <si>
    <t>51.48M</t>
  </si>
  <si>
    <t>45.34M</t>
  </si>
  <si>
    <t>78.43M</t>
  </si>
  <si>
    <t>46.74M</t>
  </si>
  <si>
    <t>59.21M</t>
  </si>
  <si>
    <t>42.50M</t>
  </si>
  <si>
    <t>46.14M</t>
  </si>
  <si>
    <t>54.74M</t>
  </si>
  <si>
    <t>45.03M</t>
  </si>
  <si>
    <t>49.33M</t>
  </si>
  <si>
    <t>51.91M</t>
  </si>
  <si>
    <t>63.78M</t>
  </si>
  <si>
    <t>36.45M</t>
  </si>
  <si>
    <t>50.48M</t>
  </si>
  <si>
    <t>68.62M</t>
  </si>
  <si>
    <t>51.22M</t>
  </si>
  <si>
    <t>69.02M</t>
  </si>
  <si>
    <t>101.01M</t>
  </si>
  <si>
    <t>57.37M</t>
  </si>
  <si>
    <t>52.29M</t>
  </si>
  <si>
    <t>36.83M</t>
  </si>
  <si>
    <t>38.74M</t>
  </si>
  <si>
    <t>47.31M</t>
  </si>
  <si>
    <t>Closing Price</t>
  </si>
  <si>
    <t>Daily Return</t>
  </si>
  <si>
    <t xml:space="preserve">Insights: </t>
  </si>
  <si>
    <t>- Apple shows consistent upward trend over the year (Apr 2025 -  Apr 2026), supported by a positive average daily return of 0.12%.</t>
  </si>
  <si>
    <t>- The moderate volatility indicates a stable risk, which makes it suitable for long-term investors.</t>
  </si>
  <si>
    <t>Description:</t>
  </si>
  <si>
    <t>- Apple went through a strong upward trend between mid to late 2025.</t>
  </si>
  <si>
    <t>- A short term decline happened in early 2026, but later bounds back upward during April 2026.</t>
  </si>
  <si>
    <t>- The stock peaked around November to December 2025.</t>
  </si>
  <si>
    <t>10-Day MA</t>
  </si>
  <si>
    <t>20-Day MA</t>
  </si>
  <si>
    <t>50-Day MA</t>
  </si>
  <si>
    <t>N/A</t>
  </si>
  <si>
    <t>- Moving averages confirm sustained bullish trend despite the volitality.</t>
  </si>
  <si>
    <t>Average Daily Return (%)</t>
  </si>
  <si>
    <t>Volatility (Std. Dev. Of Returns)</t>
  </si>
  <si>
    <t>Total Return (%)</t>
  </si>
  <si>
    <t>20-day Rolling Volatility (%)</t>
  </si>
  <si>
    <t>Volatility represents the standard deviation of daily returns.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</si>
</sst>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409]yyyy\-mm\-dd;@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0" fontId="0" fillId="0" borderId="0" xfId="1" applyNumberFormat="1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0" fillId="0" borderId="0" xfId="0" applyBorder="1" applyAlignment="1">
      <alignment vertical="center"/>
    </xf>
    <xf numFmtId="2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left" vertical="center"/>
    </xf>
    <xf numFmtId="2" fontId="0" fillId="0" borderId="0" xfId="0" quotePrefix="1" applyNumberFormat="1" applyAlignment="1">
      <alignment horizontal="center" vertical="center"/>
    </xf>
    <xf numFmtId="10" fontId="0" fillId="0" borderId="0" xfId="1" quotePrefix="1" applyNumberFormat="1" applyFont="1" applyAlignment="1">
      <alignment horizontal="center" vertical="center"/>
    </xf>
    <xf numFmtId="0" fontId="18" fillId="0" borderId="0" xfId="0" applyFont="1"/>
    <xf numFmtId="0" fontId="19" fillId="33" borderId="10" xfId="0" applyFont="1" applyFill="1" applyBorder="1" applyAlignment="1">
      <alignment horizontal="left" vertical="center"/>
    </xf>
    <xf numFmtId="10" fontId="19" fillId="0" borderId="10" xfId="0" applyNumberFormat="1" applyFont="1" applyBorder="1" applyAlignment="1">
      <alignment horizontal="center" vertical="center"/>
    </xf>
    <xf numFmtId="10" fontId="19" fillId="0" borderId="10" xfId="1" applyNumberFormat="1" applyFont="1" applyFill="1" applyBorder="1" applyAlignment="1">
      <alignment horizontal="center" vertical="center"/>
    </xf>
    <xf numFmtId="10" fontId="19" fillId="0" borderId="10" xfId="1" applyNumberFormat="1" applyFont="1" applyBorder="1" applyAlignment="1">
      <alignment horizontal="center" vertical="center"/>
    </xf>
    <xf numFmtId="0" fontId="20" fillId="0" borderId="0" xfId="0" applyFont="1" applyAlignment="1">
      <alignment horizontal="left" vertical="center"/>
    </xf>
    <xf numFmtId="0" fontId="19" fillId="33" borderId="10" xfId="0" applyFont="1" applyFill="1" applyBorder="1" applyAlignment="1">
      <alignment horizontal="left" vertical="center"/>
    </xf>
    <xf numFmtId="0" fontId="19" fillId="0" borderId="0" xfId="0" applyFont="1" applyAlignment="1">
      <alignment horizontal="center" vertical="center"/>
    </xf>
    <xf numFmtId="0" fontId="19" fillId="0" borderId="10" xfId="0" quotePrefix="1" applyFont="1" applyBorder="1" applyAlignment="1">
      <alignment horizontal="left" vertical="center" wrapText="1"/>
    </xf>
    <xf numFmtId="0" fontId="19" fillId="0" borderId="10" xfId="0" quotePrefix="1" applyFont="1" applyBorder="1" applyAlignment="1">
      <alignment horizontal="left" vertical="center"/>
    </xf>
    <xf numFmtId="0" fontId="21" fillId="0" borderId="0" xfId="0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15">
    <dxf>
      <numFmt numFmtId="2" formatCode="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4" formatCode="0.00%"/>
      <alignment horizontal="center" vertical="center" textRotation="0" wrapText="0" indent="0" justifyLastLine="0" shrinkToFit="0" readingOrder="0"/>
    </dxf>
    <dxf>
      <numFmt numFmtId="164" formatCode="[$-14409]yyyy\-mm\-dd;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14" formatCode="0.00%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4" formatCode="[$-14409]yyyy\-mm\-dd;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MY" sz="1200" b="0" i="0" u="none" strike="noStrike" baseline="0"/>
              <a:t>AAPL Price Trend with Moving Averages (2025–2026)</a:t>
            </a:r>
            <a:endParaRPr lang="en-MY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Analysis!$D$1</c:f>
              <c:strCache>
                <c:ptCount val="1"/>
                <c:pt idx="0">
                  <c:v>10-Day MA</c:v>
                </c:pt>
              </c:strCache>
            </c:strRef>
          </c:tx>
          <c:spPr>
            <a:ln w="2222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Analysis!$D$2:$D$253</c:f>
              <c:numCache>
                <c:formatCode>0.00</c:formatCode>
                <c:ptCount val="2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206.38199999999998</c:v>
                </c:pt>
                <c:pt idx="10">
                  <c:v>205.29400000000001</c:v>
                </c:pt>
                <c:pt idx="11">
                  <c:v>204.21899999999999</c:v>
                </c:pt>
                <c:pt idx="12">
                  <c:v>204.28399999999999</c:v>
                </c:pt>
                <c:pt idx="13">
                  <c:v>204.45599999999999</c:v>
                </c:pt>
                <c:pt idx="14">
                  <c:v>204.43899999999999</c:v>
                </c:pt>
                <c:pt idx="15">
                  <c:v>204.25200000000001</c:v>
                </c:pt>
                <c:pt idx="16">
                  <c:v>204.84300000000002</c:v>
                </c:pt>
                <c:pt idx="17">
                  <c:v>205.83200000000002</c:v>
                </c:pt>
                <c:pt idx="18">
                  <c:v>206.667</c:v>
                </c:pt>
                <c:pt idx="19">
                  <c:v>207.25100000000003</c:v>
                </c:pt>
                <c:pt idx="20">
                  <c:v>207.63799999999998</c:v>
                </c:pt>
                <c:pt idx="21">
                  <c:v>207.31199999999998</c:v>
                </c:pt>
                <c:pt idx="22">
                  <c:v>206.25399999999999</c:v>
                </c:pt>
                <c:pt idx="23">
                  <c:v>205.00299999999999</c:v>
                </c:pt>
                <c:pt idx="24">
                  <c:v>203.76500000000004</c:v>
                </c:pt>
                <c:pt idx="25">
                  <c:v>202.70499999999998</c:v>
                </c:pt>
                <c:pt idx="26">
                  <c:v>201.749</c:v>
                </c:pt>
                <c:pt idx="27">
                  <c:v>201.19800000000001</c:v>
                </c:pt>
                <c:pt idx="28">
                  <c:v>200.79399999999998</c:v>
                </c:pt>
                <c:pt idx="29">
                  <c:v>200.648</c:v>
                </c:pt>
                <c:pt idx="30">
                  <c:v>200.904</c:v>
                </c:pt>
                <c:pt idx="31">
                  <c:v>201.52199999999999</c:v>
                </c:pt>
                <c:pt idx="32">
                  <c:v>201.768</c:v>
                </c:pt>
                <c:pt idx="33">
                  <c:v>201.60399999999998</c:v>
                </c:pt>
                <c:pt idx="34">
                  <c:v>201.529</c:v>
                </c:pt>
                <c:pt idx="35">
                  <c:v>201.089</c:v>
                </c:pt>
                <c:pt idx="36">
                  <c:v>200.76100000000002</c:v>
                </c:pt>
                <c:pt idx="37">
                  <c:v>199.99799999999999</c:v>
                </c:pt>
                <c:pt idx="38">
                  <c:v>199.37399999999997</c:v>
                </c:pt>
                <c:pt idx="39">
                  <c:v>199.411</c:v>
                </c:pt>
                <c:pt idx="40">
                  <c:v>199.16900000000001</c:v>
                </c:pt>
                <c:pt idx="41">
                  <c:v>199.05399999999997</c:v>
                </c:pt>
                <c:pt idx="42">
                  <c:v>198.94299999999998</c:v>
                </c:pt>
                <c:pt idx="43">
                  <c:v>199.16499999999999</c:v>
                </c:pt>
                <c:pt idx="44">
                  <c:v>199.35300000000001</c:v>
                </c:pt>
                <c:pt idx="45">
                  <c:v>200.22499999999999</c:v>
                </c:pt>
                <c:pt idx="46">
                  <c:v>201.16499999999999</c:v>
                </c:pt>
                <c:pt idx="47">
                  <c:v>202.845</c:v>
                </c:pt>
                <c:pt idx="48">
                  <c:v>204.54199999999997</c:v>
                </c:pt>
                <c:pt idx="49">
                  <c:v>205.43699999999998</c:v>
                </c:pt>
                <c:pt idx="50">
                  <c:v>206.28800000000001</c:v>
                </c:pt>
                <c:pt idx="51">
                  <c:v>207.37199999999999</c:v>
                </c:pt>
                <c:pt idx="52">
                  <c:v>208.45699999999997</c:v>
                </c:pt>
                <c:pt idx="53">
                  <c:v>209.47300000000001</c:v>
                </c:pt>
                <c:pt idx="54">
                  <c:v>210.227</c:v>
                </c:pt>
                <c:pt idx="55">
                  <c:v>210.62100000000001</c:v>
                </c:pt>
                <c:pt idx="56">
                  <c:v>210.85500000000002</c:v>
                </c:pt>
                <c:pt idx="57">
                  <c:v>210.61300000000006</c:v>
                </c:pt>
                <c:pt idx="58">
                  <c:v>210.37600000000003</c:v>
                </c:pt>
                <c:pt idx="59">
                  <c:v>210.62899999999999</c:v>
                </c:pt>
                <c:pt idx="60">
                  <c:v>211.06800000000004</c:v>
                </c:pt>
                <c:pt idx="61">
                  <c:v>211.369</c:v>
                </c:pt>
                <c:pt idx="62">
                  <c:v>211.50399999999999</c:v>
                </c:pt>
                <c:pt idx="63">
                  <c:v>211.77600000000001</c:v>
                </c:pt>
                <c:pt idx="64">
                  <c:v>212.31900000000005</c:v>
                </c:pt>
                <c:pt idx="65">
                  <c:v>212.53500000000003</c:v>
                </c:pt>
                <c:pt idx="66">
                  <c:v>212.42399999999998</c:v>
                </c:pt>
                <c:pt idx="67">
                  <c:v>212.179</c:v>
                </c:pt>
                <c:pt idx="68">
                  <c:v>211.29899999999998</c:v>
                </c:pt>
                <c:pt idx="69">
                  <c:v>210.38599999999997</c:v>
                </c:pt>
                <c:pt idx="70">
                  <c:v>209.23799999999997</c:v>
                </c:pt>
                <c:pt idx="71">
                  <c:v>209.148</c:v>
                </c:pt>
                <c:pt idx="72">
                  <c:v>209.77500000000001</c:v>
                </c:pt>
                <c:pt idx="73">
                  <c:v>211.32200000000003</c:v>
                </c:pt>
                <c:pt idx="74">
                  <c:v>212.63499999999999</c:v>
                </c:pt>
                <c:pt idx="75">
                  <c:v>214.47300000000001</c:v>
                </c:pt>
                <c:pt idx="76">
                  <c:v>216.90099999999998</c:v>
                </c:pt>
                <c:pt idx="77">
                  <c:v>219.42200000000003</c:v>
                </c:pt>
                <c:pt idx="78">
                  <c:v>222.34299999999999</c:v>
                </c:pt>
                <c:pt idx="79">
                  <c:v>225.09699999999998</c:v>
                </c:pt>
                <c:pt idx="80">
                  <c:v>227.86099999999996</c:v>
                </c:pt>
                <c:pt idx="81">
                  <c:v>229.137</c:v>
                </c:pt>
                <c:pt idx="82">
                  <c:v>229.62400000000002</c:v>
                </c:pt>
                <c:pt idx="83">
                  <c:v>229.46499999999997</c:v>
                </c:pt>
                <c:pt idx="84">
                  <c:v>229.46300000000002</c:v>
                </c:pt>
                <c:pt idx="85">
                  <c:v>229.429</c:v>
                </c:pt>
                <c:pt idx="86">
                  <c:v>229.14499999999998</c:v>
                </c:pt>
                <c:pt idx="87">
                  <c:v>229.12299999999999</c:v>
                </c:pt>
                <c:pt idx="88">
                  <c:v>229.17799999999997</c:v>
                </c:pt>
                <c:pt idx="89">
                  <c:v>229.06099999999998</c:v>
                </c:pt>
                <c:pt idx="90">
                  <c:v>229.85199999999995</c:v>
                </c:pt>
                <c:pt idx="91">
                  <c:v>231.22899999999998</c:v>
                </c:pt>
                <c:pt idx="92">
                  <c:v>232.70800000000003</c:v>
                </c:pt>
                <c:pt idx="93">
                  <c:v>233.71999999999997</c:v>
                </c:pt>
                <c:pt idx="94">
                  <c:v>234.43899999999999</c:v>
                </c:pt>
                <c:pt idx="95">
                  <c:v>234.18699999999998</c:v>
                </c:pt>
                <c:pt idx="96">
                  <c:v>234.14100000000002</c:v>
                </c:pt>
                <c:pt idx="97">
                  <c:v>234.292</c:v>
                </c:pt>
                <c:pt idx="98">
                  <c:v>234.74799999999996</c:v>
                </c:pt>
                <c:pt idx="99">
                  <c:v>235.59099999999998</c:v>
                </c:pt>
                <c:pt idx="100">
                  <c:v>235.64300000000003</c:v>
                </c:pt>
                <c:pt idx="101">
                  <c:v>235.45300000000003</c:v>
                </c:pt>
                <c:pt idx="102">
                  <c:v>236.03400000000002</c:v>
                </c:pt>
                <c:pt idx="103">
                  <c:v>237.85399999999998</c:v>
                </c:pt>
                <c:pt idx="104">
                  <c:v>239.86199999999999</c:v>
                </c:pt>
                <c:pt idx="105">
                  <c:v>242.41399999999999</c:v>
                </c:pt>
                <c:pt idx="106">
                  <c:v>245.09800000000001</c:v>
                </c:pt>
                <c:pt idx="107">
                  <c:v>247.23699999999999</c:v>
                </c:pt>
                <c:pt idx="108">
                  <c:v>249.01</c:v>
                </c:pt>
                <c:pt idx="109">
                  <c:v>250.65799999999999</c:v>
                </c:pt>
                <c:pt idx="110">
                  <c:v>252.304</c:v>
                </c:pt>
                <c:pt idx="111">
                  <c:v>254.22899999999998</c:v>
                </c:pt>
                <c:pt idx="112">
                  <c:v>255.48099999999999</c:v>
                </c:pt>
                <c:pt idx="113">
                  <c:v>255.542</c:v>
                </c:pt>
                <c:pt idx="114">
                  <c:v>255.74699999999999</c:v>
                </c:pt>
                <c:pt idx="115">
                  <c:v>256.322</c:v>
                </c:pt>
                <c:pt idx="116">
                  <c:v>256.03899999999999</c:v>
                </c:pt>
                <c:pt idx="117">
                  <c:v>255.01999999999998</c:v>
                </c:pt>
                <c:pt idx="118">
                  <c:v>254.34299999999999</c:v>
                </c:pt>
                <c:pt idx="119">
                  <c:v>253.65699999999998</c:v>
                </c:pt>
                <c:pt idx="120">
                  <c:v>253.04599999999999</c:v>
                </c:pt>
                <c:pt idx="121">
                  <c:v>252.07799999999997</c:v>
                </c:pt>
                <c:pt idx="122">
                  <c:v>251.50499999999997</c:v>
                </c:pt>
                <c:pt idx="123">
                  <c:v>252.06000000000003</c:v>
                </c:pt>
                <c:pt idx="124">
                  <c:v>252.68899999999999</c:v>
                </c:pt>
                <c:pt idx="125">
                  <c:v>252.72799999999998</c:v>
                </c:pt>
                <c:pt idx="126">
                  <c:v>253.28199999999998</c:v>
                </c:pt>
                <c:pt idx="127">
                  <c:v>255.03700000000003</c:v>
                </c:pt>
                <c:pt idx="128">
                  <c:v>257.15199999999999</c:v>
                </c:pt>
                <c:pt idx="129">
                  <c:v>259.27499999999998</c:v>
                </c:pt>
                <c:pt idx="130">
                  <c:v>261.31099999999998</c:v>
                </c:pt>
                <c:pt idx="131">
                  <c:v>263.70600000000002</c:v>
                </c:pt>
                <c:pt idx="132">
                  <c:v>265.51400000000001</c:v>
                </c:pt>
                <c:pt idx="133">
                  <c:v>266.19499999999999</c:v>
                </c:pt>
                <c:pt idx="134">
                  <c:v>266.92199999999997</c:v>
                </c:pt>
                <c:pt idx="135">
                  <c:v>268.09100000000001</c:v>
                </c:pt>
                <c:pt idx="136">
                  <c:v>269.11</c:v>
                </c:pt>
                <c:pt idx="137">
                  <c:v>269.67500000000001</c:v>
                </c:pt>
                <c:pt idx="138">
                  <c:v>269.73699999999997</c:v>
                </c:pt>
                <c:pt idx="139">
                  <c:v>270.36199999999997</c:v>
                </c:pt>
                <c:pt idx="140">
                  <c:v>270.73900000000003</c:v>
                </c:pt>
                <c:pt idx="141">
                  <c:v>270.89399999999995</c:v>
                </c:pt>
                <c:pt idx="142">
                  <c:v>271.09799999999996</c:v>
                </c:pt>
                <c:pt idx="143">
                  <c:v>270.93899999999996</c:v>
                </c:pt>
                <c:pt idx="144">
                  <c:v>270.67899999999997</c:v>
                </c:pt>
                <c:pt idx="145">
                  <c:v>270.52100000000002</c:v>
                </c:pt>
                <c:pt idx="146">
                  <c:v>270.16899999999998</c:v>
                </c:pt>
                <c:pt idx="147">
                  <c:v>270.471</c:v>
                </c:pt>
                <c:pt idx="148">
                  <c:v>271.12</c:v>
                </c:pt>
                <c:pt idx="149">
                  <c:v>271.29200000000003</c:v>
                </c:pt>
                <c:pt idx="150">
                  <c:v>271.7</c:v>
                </c:pt>
                <c:pt idx="151">
                  <c:v>272.29000000000002</c:v>
                </c:pt>
                <c:pt idx="152">
                  <c:v>273.35900000000004</c:v>
                </c:pt>
                <c:pt idx="153">
                  <c:v>275.23200000000003</c:v>
                </c:pt>
                <c:pt idx="154">
                  <c:v>276.90300000000002</c:v>
                </c:pt>
                <c:pt idx="155">
                  <c:v>278.11700000000002</c:v>
                </c:pt>
                <c:pt idx="156">
                  <c:v>279.37</c:v>
                </c:pt>
                <c:pt idx="157">
                  <c:v>280.01</c:v>
                </c:pt>
                <c:pt idx="158">
                  <c:v>280.13599999999997</c:v>
                </c:pt>
                <c:pt idx="159">
                  <c:v>280.31700000000001</c:v>
                </c:pt>
                <c:pt idx="160">
                  <c:v>280.36499999999995</c:v>
                </c:pt>
                <c:pt idx="161">
                  <c:v>280.30799999999999</c:v>
                </c:pt>
                <c:pt idx="162">
                  <c:v>279.40899999999999</c:v>
                </c:pt>
                <c:pt idx="163">
                  <c:v>278.25100000000003</c:v>
                </c:pt>
                <c:pt idx="164">
                  <c:v>277.02000000000004</c:v>
                </c:pt>
                <c:pt idx="165">
                  <c:v>276.16899999999998</c:v>
                </c:pt>
                <c:pt idx="166">
                  <c:v>275.65800000000002</c:v>
                </c:pt>
                <c:pt idx="167">
                  <c:v>274.96600000000001</c:v>
                </c:pt>
                <c:pt idx="168">
                  <c:v>274.48399999999998</c:v>
                </c:pt>
                <c:pt idx="169">
                  <c:v>273.98699999999997</c:v>
                </c:pt>
                <c:pt idx="170">
                  <c:v>273.524</c:v>
                </c:pt>
                <c:pt idx="171">
                  <c:v>273.072</c:v>
                </c:pt>
                <c:pt idx="172">
                  <c:v>272.96900000000005</c:v>
                </c:pt>
                <c:pt idx="173">
                  <c:v>272.69400000000002</c:v>
                </c:pt>
                <c:pt idx="174">
                  <c:v>272.61100000000005</c:v>
                </c:pt>
                <c:pt idx="175">
                  <c:v>272.11800000000005</c:v>
                </c:pt>
                <c:pt idx="176">
                  <c:v>270.98700000000002</c:v>
                </c:pt>
                <c:pt idx="177">
                  <c:v>269.923</c:v>
                </c:pt>
                <c:pt idx="178">
                  <c:v>268.59100000000001</c:v>
                </c:pt>
                <c:pt idx="179">
                  <c:v>267.14699999999999</c:v>
                </c:pt>
                <c:pt idx="180">
                  <c:v>265.83199999999999</c:v>
                </c:pt>
                <c:pt idx="181">
                  <c:v>264.56100000000004</c:v>
                </c:pt>
                <c:pt idx="182">
                  <c:v>263.24900000000002</c:v>
                </c:pt>
                <c:pt idx="183">
                  <c:v>261.88400000000001</c:v>
                </c:pt>
                <c:pt idx="184">
                  <c:v>260.33600000000001</c:v>
                </c:pt>
                <c:pt idx="185">
                  <c:v>258.27999999999997</c:v>
                </c:pt>
                <c:pt idx="186">
                  <c:v>256.80900000000003</c:v>
                </c:pt>
                <c:pt idx="187">
                  <c:v>255.61100000000002</c:v>
                </c:pt>
                <c:pt idx="188">
                  <c:v>254.51100000000002</c:v>
                </c:pt>
                <c:pt idx="189">
                  <c:v>254.11500000000001</c:v>
                </c:pt>
                <c:pt idx="190">
                  <c:v>253.917</c:v>
                </c:pt>
                <c:pt idx="191">
                  <c:v>253.45599999999999</c:v>
                </c:pt>
                <c:pt idx="192">
                  <c:v>253.28800000000001</c:v>
                </c:pt>
                <c:pt idx="193">
                  <c:v>253.41500000000002</c:v>
                </c:pt>
                <c:pt idx="194">
                  <c:v>254.863</c:v>
                </c:pt>
                <c:pt idx="195">
                  <c:v>257.14099999999996</c:v>
                </c:pt>
                <c:pt idx="196">
                  <c:v>260.02499999999998</c:v>
                </c:pt>
                <c:pt idx="197">
                  <c:v>262.78099999999995</c:v>
                </c:pt>
                <c:pt idx="198">
                  <c:v>265.78899999999993</c:v>
                </c:pt>
                <c:pt idx="199">
                  <c:v>267.70999999999998</c:v>
                </c:pt>
                <c:pt idx="200">
                  <c:v>269.25099999999998</c:v>
                </c:pt>
                <c:pt idx="201">
                  <c:v>271.15699999999998</c:v>
                </c:pt>
                <c:pt idx="202">
                  <c:v>271.50200000000001</c:v>
                </c:pt>
                <c:pt idx="203">
                  <c:v>271.13200000000006</c:v>
                </c:pt>
                <c:pt idx="204">
                  <c:v>270.51900000000001</c:v>
                </c:pt>
                <c:pt idx="205">
                  <c:v>270.00600000000003</c:v>
                </c:pt>
                <c:pt idx="206">
                  <c:v>268.41499999999996</c:v>
                </c:pt>
                <c:pt idx="207">
                  <c:v>267.28199999999998</c:v>
                </c:pt>
                <c:pt idx="208">
                  <c:v>266.08799999999997</c:v>
                </c:pt>
                <c:pt idx="209">
                  <c:v>265.83999999999997</c:v>
                </c:pt>
                <c:pt idx="210">
                  <c:v>265.89499999999992</c:v>
                </c:pt>
                <c:pt idx="211">
                  <c:v>265.64</c:v>
                </c:pt>
                <c:pt idx="212">
                  <c:v>265.88499999999993</c:v>
                </c:pt>
                <c:pt idx="213">
                  <c:v>266.779</c:v>
                </c:pt>
                <c:pt idx="214">
                  <c:v>266.76599999999996</c:v>
                </c:pt>
                <c:pt idx="215">
                  <c:v>266.58300000000003</c:v>
                </c:pt>
                <c:pt idx="216">
                  <c:v>266.55400000000003</c:v>
                </c:pt>
                <c:pt idx="217">
                  <c:v>265.84199999999998</c:v>
                </c:pt>
                <c:pt idx="218">
                  <c:v>265.21200000000005</c:v>
                </c:pt>
                <c:pt idx="219">
                  <c:v>264.08100000000002</c:v>
                </c:pt>
                <c:pt idx="220">
                  <c:v>262.73899999999998</c:v>
                </c:pt>
                <c:pt idx="221">
                  <c:v>261.02</c:v>
                </c:pt>
                <c:pt idx="222">
                  <c:v>259.61399999999992</c:v>
                </c:pt>
                <c:pt idx="223">
                  <c:v>258.42400000000004</c:v>
                </c:pt>
                <c:pt idx="224">
                  <c:v>257.47200000000004</c:v>
                </c:pt>
                <c:pt idx="225">
                  <c:v>256.21400000000006</c:v>
                </c:pt>
                <c:pt idx="226">
                  <c:v>255.08099999999996</c:v>
                </c:pt>
                <c:pt idx="227">
                  <c:v>254.13400000000001</c:v>
                </c:pt>
                <c:pt idx="228">
                  <c:v>253.29499999999999</c:v>
                </c:pt>
                <c:pt idx="229">
                  <c:v>252.37599999999998</c:v>
                </c:pt>
                <c:pt idx="230">
                  <c:v>251.55700000000002</c:v>
                </c:pt>
                <c:pt idx="231">
                  <c:v>251.26999999999998</c:v>
                </c:pt>
                <c:pt idx="232">
                  <c:v>251.13800000000001</c:v>
                </c:pt>
                <c:pt idx="233">
                  <c:v>250.51900000000001</c:v>
                </c:pt>
                <c:pt idx="234">
                  <c:v>250.47499999999997</c:v>
                </c:pt>
                <c:pt idx="235">
                  <c:v>251.04400000000001</c:v>
                </c:pt>
                <c:pt idx="236">
                  <c:v>251.74</c:v>
                </c:pt>
                <c:pt idx="237">
                  <c:v>252.82700000000006</c:v>
                </c:pt>
                <c:pt idx="238">
                  <c:v>253.02800000000002</c:v>
                </c:pt>
                <c:pt idx="239">
                  <c:v>253.75400000000005</c:v>
                </c:pt>
                <c:pt idx="240">
                  <c:v>254.541</c:v>
                </c:pt>
                <c:pt idx="241">
                  <c:v>255.30000000000004</c:v>
                </c:pt>
                <c:pt idx="242">
                  <c:v>256.33999999999997</c:v>
                </c:pt>
                <c:pt idx="243">
                  <c:v>257.55999999999995</c:v>
                </c:pt>
                <c:pt idx="244">
                  <c:v>258.82399999999996</c:v>
                </c:pt>
                <c:pt idx="245">
                  <c:v>259.601</c:v>
                </c:pt>
                <c:pt idx="246">
                  <c:v>261.03200000000004</c:v>
                </c:pt>
                <c:pt idx="247">
                  <c:v>262.45100000000002</c:v>
                </c:pt>
                <c:pt idx="248">
                  <c:v>263.71800000000002</c:v>
                </c:pt>
                <c:pt idx="249">
                  <c:v>265.14500000000004</c:v>
                </c:pt>
                <c:pt idx="250">
                  <c:v>266.43899999999996</c:v>
                </c:pt>
                <c:pt idx="251">
                  <c:v>267.49699999999996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2D0D-4F9A-8097-7D82A109C37C}"/>
            </c:ext>
          </c:extLst>
        </c:ser>
        <c:ser>
          <c:idx val="1"/>
          <c:order val="1"/>
          <c:tx>
            <c:strRef>
              <c:f>Analysis!$E$1</c:f>
              <c:strCache>
                <c:ptCount val="1"/>
                <c:pt idx="0">
                  <c:v>20-Day MA</c:v>
                </c:pt>
              </c:strCache>
            </c:strRef>
          </c:tx>
          <c:spPr>
            <a:ln w="22225" cap="rnd">
              <a:solidFill>
                <a:srgbClr val="0070C0"/>
              </a:solidFill>
              <a:round/>
            </a:ln>
            <a:effectLst/>
          </c:spPr>
          <c:marker>
            <c:symbol val="none"/>
          </c:marker>
          <c:val>
            <c:numRef>
              <c:f>Analysis!$E$2:$E$253</c:f>
              <c:numCache>
                <c:formatCode>General</c:formatCode>
                <c:ptCount val="2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 formatCode="0.00">
                  <c:v>206.81649999999999</c:v>
                </c:pt>
                <c:pt idx="20" formatCode="0.00">
                  <c:v>206.46599999999998</c:v>
                </c:pt>
                <c:pt idx="21" formatCode="0.00">
                  <c:v>205.76550000000003</c:v>
                </c:pt>
                <c:pt idx="22" formatCode="0.00">
                  <c:v>205.26900000000001</c:v>
                </c:pt>
                <c:pt idx="23" formatCode="0.00">
                  <c:v>204.7295</c:v>
                </c:pt>
                <c:pt idx="24" formatCode="0.00">
                  <c:v>204.102</c:v>
                </c:pt>
                <c:pt idx="25" formatCode="0.00">
                  <c:v>203.4785</c:v>
                </c:pt>
                <c:pt idx="26" formatCode="0.00">
                  <c:v>203.29600000000002</c:v>
                </c:pt>
                <c:pt idx="27" formatCode="0.00">
                  <c:v>203.51500000000001</c:v>
                </c:pt>
                <c:pt idx="28" formatCode="0.00">
                  <c:v>203.73050000000001</c:v>
                </c:pt>
                <c:pt idx="29" formatCode="0.00">
                  <c:v>203.9495</c:v>
                </c:pt>
                <c:pt idx="30" formatCode="0.00">
                  <c:v>204.27099999999999</c:v>
                </c:pt>
                <c:pt idx="31" formatCode="0.00">
                  <c:v>204.41699999999997</c:v>
                </c:pt>
                <c:pt idx="32" formatCode="0.00">
                  <c:v>204.011</c:v>
                </c:pt>
                <c:pt idx="33" formatCode="0.00">
                  <c:v>203.30349999999999</c:v>
                </c:pt>
                <c:pt idx="34" formatCode="0.00">
                  <c:v>202.64700000000002</c:v>
                </c:pt>
                <c:pt idx="35" formatCode="0.00">
                  <c:v>201.89699999999999</c:v>
                </c:pt>
                <c:pt idx="36" formatCode="0.00">
                  <c:v>201.25500000000002</c:v>
                </c:pt>
                <c:pt idx="37" formatCode="0.00">
                  <c:v>200.59800000000001</c:v>
                </c:pt>
                <c:pt idx="38" formatCode="0.00">
                  <c:v>200.08399999999997</c:v>
                </c:pt>
                <c:pt idx="39" formatCode="0.00">
                  <c:v>200.02949999999998</c:v>
                </c:pt>
                <c:pt idx="40" formatCode="0.00">
                  <c:v>200.03649999999999</c:v>
                </c:pt>
                <c:pt idx="41" formatCode="0.00">
                  <c:v>200.28799999999998</c:v>
                </c:pt>
                <c:pt idx="42" formatCode="0.00">
                  <c:v>200.35549999999998</c:v>
                </c:pt>
                <c:pt idx="43" formatCode="0.00">
                  <c:v>200.38449999999997</c:v>
                </c:pt>
                <c:pt idx="44" formatCode="0.00">
                  <c:v>200.44099999999997</c:v>
                </c:pt>
                <c:pt idx="45" formatCode="0.00">
                  <c:v>200.65699999999998</c:v>
                </c:pt>
                <c:pt idx="46" formatCode="0.00">
                  <c:v>200.96300000000002</c:v>
                </c:pt>
                <c:pt idx="47" formatCode="0.00">
                  <c:v>201.42150000000001</c:v>
                </c:pt>
                <c:pt idx="48" formatCode="0.00">
                  <c:v>201.95800000000003</c:v>
                </c:pt>
                <c:pt idx="49" formatCode="0.00">
                  <c:v>202.42400000000004</c:v>
                </c:pt>
                <c:pt idx="50" formatCode="0.00">
                  <c:v>202.72850000000003</c:v>
                </c:pt>
                <c:pt idx="51" formatCode="0.00">
                  <c:v>203.21299999999999</c:v>
                </c:pt>
                <c:pt idx="52" formatCode="0.00">
                  <c:v>203.7</c:v>
                </c:pt>
                <c:pt idx="53" formatCode="0.00">
                  <c:v>204.31899999999999</c:v>
                </c:pt>
                <c:pt idx="54" formatCode="0.00">
                  <c:v>204.79</c:v>
                </c:pt>
                <c:pt idx="55" formatCode="0.00">
                  <c:v>205.423</c:v>
                </c:pt>
                <c:pt idx="56" formatCode="0.00">
                  <c:v>206.00999999999993</c:v>
                </c:pt>
                <c:pt idx="57" formatCode="0.00">
                  <c:v>206.72899999999998</c:v>
                </c:pt>
                <c:pt idx="58" formatCode="0.00">
                  <c:v>207.45899999999997</c:v>
                </c:pt>
                <c:pt idx="59" formatCode="0.00">
                  <c:v>208.03299999999996</c:v>
                </c:pt>
                <c:pt idx="60" formatCode="0.00">
                  <c:v>208.67799999999997</c:v>
                </c:pt>
                <c:pt idx="61" formatCode="0.00">
                  <c:v>209.37049999999994</c:v>
                </c:pt>
                <c:pt idx="62" formatCode="0.00">
                  <c:v>209.98049999999998</c:v>
                </c:pt>
                <c:pt idx="63" formatCode="0.00">
                  <c:v>210.62449999999998</c:v>
                </c:pt>
                <c:pt idx="64" formatCode="0.00">
                  <c:v>211.273</c:v>
                </c:pt>
                <c:pt idx="65" formatCode="0.00">
                  <c:v>211.57800000000003</c:v>
                </c:pt>
                <c:pt idx="66" formatCode="0.00">
                  <c:v>211.6395</c:v>
                </c:pt>
                <c:pt idx="67" formatCode="0.00">
                  <c:v>211.39600000000004</c:v>
                </c:pt>
                <c:pt idx="68" formatCode="0.00">
                  <c:v>210.83750000000003</c:v>
                </c:pt>
                <c:pt idx="69" formatCode="0.00">
                  <c:v>210.50750000000008</c:v>
                </c:pt>
                <c:pt idx="70" formatCode="0.00">
                  <c:v>210.15300000000002</c:v>
                </c:pt>
                <c:pt idx="71" formatCode="0.00">
                  <c:v>210.2585</c:v>
                </c:pt>
                <c:pt idx="72" formatCode="0.00">
                  <c:v>210.63950000000006</c:v>
                </c:pt>
                <c:pt idx="73" formatCode="0.00">
                  <c:v>211.54900000000006</c:v>
                </c:pt>
                <c:pt idx="74" formatCode="0.00">
                  <c:v>212.47700000000003</c:v>
                </c:pt>
                <c:pt idx="75" formatCode="0.00">
                  <c:v>213.50400000000005</c:v>
                </c:pt>
                <c:pt idx="76" formatCode="0.00">
                  <c:v>214.66249999999999</c:v>
                </c:pt>
                <c:pt idx="77" formatCode="0.00">
                  <c:v>215.8005</c:v>
                </c:pt>
                <c:pt idx="78" formatCode="0.00">
                  <c:v>216.821</c:v>
                </c:pt>
                <c:pt idx="79" formatCode="0.00">
                  <c:v>217.7415</c:v>
                </c:pt>
                <c:pt idx="80" formatCode="0.00">
                  <c:v>218.54950000000002</c:v>
                </c:pt>
                <c:pt idx="81" formatCode="0.00">
                  <c:v>219.14250000000001</c:v>
                </c:pt>
                <c:pt idx="82" formatCode="0.00">
                  <c:v>219.6995</c:v>
                </c:pt>
                <c:pt idx="83" formatCode="0.00">
                  <c:v>220.39349999999999</c:v>
                </c:pt>
                <c:pt idx="84" formatCode="0.00">
                  <c:v>221.04899999999998</c:v>
                </c:pt>
                <c:pt idx="85" formatCode="0.00">
                  <c:v>221.95100000000002</c:v>
                </c:pt>
                <c:pt idx="86" formatCode="0.00">
                  <c:v>223.023</c:v>
                </c:pt>
                <c:pt idx="87" formatCode="0.00">
                  <c:v>224.27250000000004</c:v>
                </c:pt>
                <c:pt idx="88" formatCode="0.00">
                  <c:v>225.76050000000001</c:v>
                </c:pt>
                <c:pt idx="89" formatCode="0.00">
                  <c:v>227.07900000000001</c:v>
                </c:pt>
                <c:pt idx="90" formatCode="0.00">
                  <c:v>228.85650000000001</c:v>
                </c:pt>
                <c:pt idx="91" formatCode="0.00">
                  <c:v>230.18299999999999</c:v>
                </c:pt>
                <c:pt idx="92" formatCode="0.00">
                  <c:v>231.16599999999994</c:v>
                </c:pt>
                <c:pt idx="93" formatCode="0.00">
                  <c:v>231.59249999999992</c:v>
                </c:pt>
                <c:pt idx="94" formatCode="0.00">
                  <c:v>231.95100000000002</c:v>
                </c:pt>
                <c:pt idx="95" formatCode="0.00">
                  <c:v>231.80799999999999</c:v>
                </c:pt>
                <c:pt idx="96" formatCode="0.00">
                  <c:v>231.64299999999997</c:v>
                </c:pt>
                <c:pt idx="97" formatCode="0.00">
                  <c:v>231.70749999999998</c:v>
                </c:pt>
                <c:pt idx="98" formatCode="0.00">
                  <c:v>231.96299999999997</c:v>
                </c:pt>
                <c:pt idx="99" formatCode="0.00">
                  <c:v>232.32599999999996</c:v>
                </c:pt>
                <c:pt idx="100" formatCode="0.00">
                  <c:v>232.7475</c:v>
                </c:pt>
                <c:pt idx="101" formatCode="0.00">
                  <c:v>233.34099999999998</c:v>
                </c:pt>
                <c:pt idx="102" formatCode="0.00">
                  <c:v>234.37100000000004</c:v>
                </c:pt>
                <c:pt idx="103" formatCode="0.00">
                  <c:v>235.78699999999998</c:v>
                </c:pt>
                <c:pt idx="104" formatCode="0.00">
                  <c:v>237.15050000000002</c:v>
                </c:pt>
                <c:pt idx="105" formatCode="0.00">
                  <c:v>238.30050000000006</c:v>
                </c:pt>
                <c:pt idx="106" formatCode="0.00">
                  <c:v>239.61950000000007</c:v>
                </c:pt>
                <c:pt idx="107" formatCode="0.00">
                  <c:v>240.7645</c:v>
                </c:pt>
                <c:pt idx="108" formatCode="0.00">
                  <c:v>241.87899999999999</c:v>
                </c:pt>
                <c:pt idx="109" formatCode="0.00">
                  <c:v>243.12449999999998</c:v>
                </c:pt>
                <c:pt idx="110" formatCode="0.00">
                  <c:v>243.9735</c:v>
                </c:pt>
                <c:pt idx="111" formatCode="0.00">
                  <c:v>244.84099999999998</c:v>
                </c:pt>
                <c:pt idx="112" formatCode="0.00">
                  <c:v>245.75749999999999</c:v>
                </c:pt>
                <c:pt idx="113" formatCode="0.00">
                  <c:v>246.69800000000001</c:v>
                </c:pt>
                <c:pt idx="114" formatCode="0.00">
                  <c:v>247.80450000000002</c:v>
                </c:pt>
                <c:pt idx="115" formatCode="0.00">
                  <c:v>249.36799999999999</c:v>
                </c:pt>
                <c:pt idx="116" formatCode="0.00">
                  <c:v>250.56850000000003</c:v>
                </c:pt>
                <c:pt idx="117" formatCode="0.00">
                  <c:v>251.12850000000003</c:v>
                </c:pt>
                <c:pt idx="118" formatCode="0.00">
                  <c:v>251.67650000000003</c:v>
                </c:pt>
                <c:pt idx="119" formatCode="0.00">
                  <c:v>252.15750000000003</c:v>
                </c:pt>
                <c:pt idx="120" formatCode="0.00">
                  <c:v>252.67500000000004</c:v>
                </c:pt>
                <c:pt idx="121" formatCode="0.00">
                  <c:v>253.15350000000004</c:v>
                </c:pt>
                <c:pt idx="122" formatCode="0.00">
                  <c:v>253.49299999999999</c:v>
                </c:pt>
                <c:pt idx="123" formatCode="0.00">
                  <c:v>253.80099999999999</c:v>
                </c:pt>
                <c:pt idx="124" formatCode="0.00">
                  <c:v>254.21799999999993</c:v>
                </c:pt>
                <c:pt idx="125" formatCode="0.00">
                  <c:v>254.52499999999995</c:v>
                </c:pt>
                <c:pt idx="126" formatCode="0.00">
                  <c:v>254.66050000000001</c:v>
                </c:pt>
                <c:pt idx="127" formatCode="0.00">
                  <c:v>255.02849999999995</c:v>
                </c:pt>
                <c:pt idx="128" formatCode="0.00">
                  <c:v>255.7475</c:v>
                </c:pt>
                <c:pt idx="129" formatCode="0.00">
                  <c:v>256.46600000000001</c:v>
                </c:pt>
                <c:pt idx="130" formatCode="0.00">
                  <c:v>257.17849999999999</c:v>
                </c:pt>
                <c:pt idx="131" formatCode="0.00">
                  <c:v>257.89199999999994</c:v>
                </c:pt>
                <c:pt idx="132" formatCode="0.00">
                  <c:v>258.50949999999995</c:v>
                </c:pt>
                <c:pt idx="133" formatCode="0.00">
                  <c:v>259.1275</c:v>
                </c:pt>
                <c:pt idx="134" formatCode="0.00">
                  <c:v>259.80549999999999</c:v>
                </c:pt>
                <c:pt idx="135" formatCode="0.00">
                  <c:v>260.40949999999998</c:v>
                </c:pt>
                <c:pt idx="136" formatCode="0.00">
                  <c:v>261.19600000000003</c:v>
                </c:pt>
                <c:pt idx="137" formatCode="0.00">
                  <c:v>262.35599999999999</c:v>
                </c:pt>
                <c:pt idx="138" formatCode="0.00">
                  <c:v>263.44450000000001</c:v>
                </c:pt>
                <c:pt idx="139" formatCode="0.00">
                  <c:v>264.81849999999997</c:v>
                </c:pt>
                <c:pt idx="140" formatCode="0.00">
                  <c:v>266.02499999999998</c:v>
                </c:pt>
                <c:pt idx="141" formatCode="0.00">
                  <c:v>267.3</c:v>
                </c:pt>
                <c:pt idx="142" formatCode="0.00">
                  <c:v>268.30599999999998</c:v>
                </c:pt>
                <c:pt idx="143" formatCode="0.00">
                  <c:v>268.56699999999995</c:v>
                </c:pt>
                <c:pt idx="144" formatCode="0.00">
                  <c:v>268.80049999999994</c:v>
                </c:pt>
                <c:pt idx="145" formatCode="0.00">
                  <c:v>269.30599999999993</c:v>
                </c:pt>
                <c:pt idx="146" formatCode="0.00">
                  <c:v>269.63949999999994</c:v>
                </c:pt>
                <c:pt idx="147" formatCode="0.00">
                  <c:v>270.07299999999998</c:v>
                </c:pt>
                <c:pt idx="148" formatCode="0.00">
                  <c:v>270.42849999999993</c:v>
                </c:pt>
                <c:pt idx="149" formatCode="0.00">
                  <c:v>270.82699999999994</c:v>
                </c:pt>
                <c:pt idx="150" formatCode="0.00">
                  <c:v>271.21950000000004</c:v>
                </c:pt>
                <c:pt idx="151" formatCode="0.00">
                  <c:v>271.59199999999998</c:v>
                </c:pt>
                <c:pt idx="152" formatCode="0.00">
                  <c:v>272.22850000000005</c:v>
                </c:pt>
                <c:pt idx="153" formatCode="0.00">
                  <c:v>273.08550000000002</c:v>
                </c:pt>
                <c:pt idx="154" formatCode="0.00">
                  <c:v>273.79100000000005</c:v>
                </c:pt>
                <c:pt idx="155" formatCode="0.00">
                  <c:v>274.31900000000002</c:v>
                </c:pt>
                <c:pt idx="156" formatCode="0.00">
                  <c:v>274.76949999999999</c:v>
                </c:pt>
                <c:pt idx="157" formatCode="0.00">
                  <c:v>275.2405</c:v>
                </c:pt>
                <c:pt idx="158" formatCode="0.00">
                  <c:v>275.62799999999999</c:v>
                </c:pt>
                <c:pt idx="159" formatCode="0.00">
                  <c:v>275.80450000000002</c:v>
                </c:pt>
                <c:pt idx="160" formatCode="0.00">
                  <c:v>276.03249999999997</c:v>
                </c:pt>
                <c:pt idx="161" formatCode="0.00">
                  <c:v>276.29899999999998</c:v>
                </c:pt>
                <c:pt idx="162" formatCode="0.00">
                  <c:v>276.38399999999996</c:v>
                </c:pt>
                <c:pt idx="163" formatCode="0.00">
                  <c:v>276.74149999999992</c:v>
                </c:pt>
                <c:pt idx="164" formatCode="0.00">
                  <c:v>276.96149999999994</c:v>
                </c:pt>
                <c:pt idx="165" formatCode="0.00">
                  <c:v>277.14299999999992</c:v>
                </c:pt>
                <c:pt idx="166" formatCode="0.00">
                  <c:v>277.5139999999999</c:v>
                </c:pt>
                <c:pt idx="167" formatCode="0.00">
                  <c:v>277.48799999999994</c:v>
                </c:pt>
                <c:pt idx="168" formatCode="0.00">
                  <c:v>277.30999999999995</c:v>
                </c:pt>
                <c:pt idx="169" formatCode="0.00">
                  <c:v>277.15199999999999</c:v>
                </c:pt>
                <c:pt idx="170" formatCode="0.00">
                  <c:v>276.94449999999995</c:v>
                </c:pt>
                <c:pt idx="171" formatCode="0.00">
                  <c:v>276.69</c:v>
                </c:pt>
                <c:pt idx="172" formatCode="0.00">
                  <c:v>276.18899999999996</c:v>
                </c:pt>
                <c:pt idx="173" formatCode="0.00">
                  <c:v>275.47249999999997</c:v>
                </c:pt>
                <c:pt idx="174" formatCode="0.00">
                  <c:v>274.81550000000004</c:v>
                </c:pt>
                <c:pt idx="175" formatCode="0.00">
                  <c:v>274.14350000000002</c:v>
                </c:pt>
                <c:pt idx="176" formatCode="0.00">
                  <c:v>273.32249999999999</c:v>
                </c:pt>
                <c:pt idx="177" formatCode="0.00">
                  <c:v>272.44449999999995</c:v>
                </c:pt>
                <c:pt idx="178" formatCode="0.00">
                  <c:v>271.53749999999997</c:v>
                </c:pt>
                <c:pt idx="179" formatCode="0.00">
                  <c:v>270.56699999999995</c:v>
                </c:pt>
                <c:pt idx="180" formatCode="0.00">
                  <c:v>269.678</c:v>
                </c:pt>
                <c:pt idx="181" formatCode="0.00">
                  <c:v>268.81650000000002</c:v>
                </c:pt>
                <c:pt idx="182" formatCode="0.00">
                  <c:v>268.10900000000004</c:v>
                </c:pt>
                <c:pt idx="183" formatCode="0.00">
                  <c:v>267.28900000000004</c:v>
                </c:pt>
                <c:pt idx="184" formatCode="0.00">
                  <c:v>266.47350000000006</c:v>
                </c:pt>
                <c:pt idx="185" formatCode="0.00">
                  <c:v>265.19899999999996</c:v>
                </c:pt>
                <c:pt idx="186" formatCode="0.00">
                  <c:v>263.89799999999997</c:v>
                </c:pt>
                <c:pt idx="187" formatCode="0.00">
                  <c:v>262.76699999999994</c:v>
                </c:pt>
                <c:pt idx="188" formatCode="0.00">
                  <c:v>261.55099999999999</c:v>
                </c:pt>
                <c:pt idx="189" formatCode="0.00">
                  <c:v>260.63099999999997</c:v>
                </c:pt>
                <c:pt idx="190" formatCode="0.00">
                  <c:v>259.87450000000001</c:v>
                </c:pt>
                <c:pt idx="191" formatCode="0.00">
                  <c:v>259.00849999999997</c:v>
                </c:pt>
                <c:pt idx="192" formatCode="0.00">
                  <c:v>258.26849999999996</c:v>
                </c:pt>
                <c:pt idx="193" formatCode="0.00">
                  <c:v>257.64949999999999</c:v>
                </c:pt>
                <c:pt idx="194" formatCode="0.00">
                  <c:v>257.59949999999998</c:v>
                </c:pt>
                <c:pt idx="195" formatCode="0.00">
                  <c:v>257.71049999999997</c:v>
                </c:pt>
                <c:pt idx="196" formatCode="0.00">
                  <c:v>258.41700000000003</c:v>
                </c:pt>
                <c:pt idx="197" formatCode="0.00">
                  <c:v>259.19600000000003</c:v>
                </c:pt>
                <c:pt idx="198" formatCode="0.00">
                  <c:v>260.14999999999998</c:v>
                </c:pt>
                <c:pt idx="199" formatCode="0.00">
                  <c:v>260.91250000000002</c:v>
                </c:pt>
                <c:pt idx="200" formatCode="0.00">
                  <c:v>261.584</c:v>
                </c:pt>
                <c:pt idx="201" formatCode="0.00">
                  <c:v>262.30650000000003</c:v>
                </c:pt>
                <c:pt idx="202" formatCode="0.00">
                  <c:v>262.39499999999998</c:v>
                </c:pt>
                <c:pt idx="203" formatCode="0.00">
                  <c:v>262.27350000000001</c:v>
                </c:pt>
                <c:pt idx="204" formatCode="0.00">
                  <c:v>262.69099999999997</c:v>
                </c:pt>
                <c:pt idx="205" formatCode="0.00">
                  <c:v>263.57349999999997</c:v>
                </c:pt>
                <c:pt idx="206" formatCode="0.00">
                  <c:v>264.21999999999997</c:v>
                </c:pt>
                <c:pt idx="207" formatCode="0.00">
                  <c:v>265.03149999999994</c:v>
                </c:pt>
                <c:pt idx="208" formatCode="0.00">
                  <c:v>265.93849999999998</c:v>
                </c:pt>
                <c:pt idx="209" formatCode="0.00">
                  <c:v>266.77500000000003</c:v>
                </c:pt>
                <c:pt idx="210" formatCode="0.00">
                  <c:v>267.57300000000004</c:v>
                </c:pt>
                <c:pt idx="211" formatCode="0.00">
                  <c:v>268.39850000000001</c:v>
                </c:pt>
                <c:pt idx="212" formatCode="0.00">
                  <c:v>268.69349999999997</c:v>
                </c:pt>
                <c:pt idx="213" formatCode="0.00">
                  <c:v>268.95550000000003</c:v>
                </c:pt>
                <c:pt idx="214" formatCode="0.00">
                  <c:v>268.64250000000004</c:v>
                </c:pt>
                <c:pt idx="215" formatCode="0.00">
                  <c:v>268.29450000000008</c:v>
                </c:pt>
                <c:pt idx="216" formatCode="0.00">
                  <c:v>267.48449999999997</c:v>
                </c:pt>
                <c:pt idx="217" formatCode="0.00">
                  <c:v>266.56200000000001</c:v>
                </c:pt>
                <c:pt idx="218" formatCode="0.00">
                  <c:v>265.64999999999998</c:v>
                </c:pt>
                <c:pt idx="219" formatCode="0.00">
                  <c:v>264.96050000000002</c:v>
                </c:pt>
                <c:pt idx="220" formatCode="0.00">
                  <c:v>264.31700000000001</c:v>
                </c:pt>
                <c:pt idx="221" formatCode="0.00">
                  <c:v>263.33</c:v>
                </c:pt>
                <c:pt idx="222" formatCode="0.00">
                  <c:v>262.74950000000001</c:v>
                </c:pt>
                <c:pt idx="223" formatCode="0.00">
                  <c:v>262.60150000000004</c:v>
                </c:pt>
                <c:pt idx="224" formatCode="0.00">
                  <c:v>262.11899999999997</c:v>
                </c:pt>
                <c:pt idx="225" formatCode="0.00">
                  <c:v>261.39849999999996</c:v>
                </c:pt>
                <c:pt idx="226" formatCode="0.00">
                  <c:v>260.8175</c:v>
                </c:pt>
                <c:pt idx="227" formatCode="0.00">
                  <c:v>259.98799999999994</c:v>
                </c:pt>
                <c:pt idx="228" formatCode="0.00">
                  <c:v>259.25349999999997</c:v>
                </c:pt>
                <c:pt idx="229" formatCode="0.00">
                  <c:v>258.2285</c:v>
                </c:pt>
                <c:pt idx="230" formatCode="0.00">
                  <c:v>257.14799999999997</c:v>
                </c:pt>
                <c:pt idx="231" formatCode="0.00">
                  <c:v>256.14500000000004</c:v>
                </c:pt>
                <c:pt idx="232" formatCode="0.00">
                  <c:v>255.37600000000003</c:v>
                </c:pt>
                <c:pt idx="233" formatCode="0.00">
                  <c:v>254.47150000000005</c:v>
                </c:pt>
                <c:pt idx="234" formatCode="0.00">
                  <c:v>253.9735</c:v>
                </c:pt>
                <c:pt idx="235" formatCode="0.00">
                  <c:v>253.62899999999999</c:v>
                </c:pt>
                <c:pt idx="236" formatCode="0.00">
                  <c:v>253.41049999999996</c:v>
                </c:pt>
                <c:pt idx="237" formatCode="0.00">
                  <c:v>253.48049999999998</c:v>
                </c:pt>
                <c:pt idx="238" formatCode="0.00">
                  <c:v>253.16149999999999</c:v>
                </c:pt>
                <c:pt idx="239" formatCode="0.00">
                  <c:v>253.06499999999997</c:v>
                </c:pt>
                <c:pt idx="240" formatCode="0.00">
                  <c:v>253.04899999999998</c:v>
                </c:pt>
                <c:pt idx="241" formatCode="0.00">
                  <c:v>253.28499999999994</c:v>
                </c:pt>
                <c:pt idx="242" formatCode="0.00">
                  <c:v>253.73899999999998</c:v>
                </c:pt>
                <c:pt idx="243" formatCode="0.00">
                  <c:v>254.0395</c:v>
                </c:pt>
                <c:pt idx="244" formatCode="0.00">
                  <c:v>254.64950000000005</c:v>
                </c:pt>
                <c:pt idx="245" formatCode="0.00">
                  <c:v>255.32250000000005</c:v>
                </c:pt>
                <c:pt idx="246" formatCode="0.00">
                  <c:v>256.38600000000008</c:v>
                </c:pt>
                <c:pt idx="247" formatCode="0.00">
                  <c:v>257.63900000000001</c:v>
                </c:pt>
                <c:pt idx="248" formatCode="0.00">
                  <c:v>258.37299999999999</c:v>
                </c:pt>
                <c:pt idx="249" formatCode="0.00">
                  <c:v>259.44950000000006</c:v>
                </c:pt>
                <c:pt idx="250" formatCode="0.00">
                  <c:v>260.49</c:v>
                </c:pt>
                <c:pt idx="251" formatCode="0.00">
                  <c:v>261.39850000000007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D0D-4F9A-8097-7D82A109C37C}"/>
            </c:ext>
          </c:extLst>
        </c:ser>
        <c:ser>
          <c:idx val="2"/>
          <c:order val="2"/>
          <c:tx>
            <c:strRef>
              <c:f>Analysis!$F$1</c:f>
              <c:strCache>
                <c:ptCount val="1"/>
                <c:pt idx="0">
                  <c:v>50-Day MA</c:v>
                </c:pt>
              </c:strCache>
            </c:strRef>
          </c:tx>
          <c:spPr>
            <a:ln w="222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val>
            <c:numRef>
              <c:f>Analysis!$F$2:$F$253</c:f>
              <c:numCache>
                <c:formatCode>General</c:formatCode>
                <c:ptCount val="25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 formatCode="0.00">
                  <c:v>203.82579999999999</c:v>
                </c:pt>
                <c:pt idx="50" formatCode="0.00">
                  <c:v>203.8586</c:v>
                </c:pt>
                <c:pt idx="51" formatCode="0.00">
                  <c:v>203.89580000000001</c:v>
                </c:pt>
                <c:pt idx="52" formatCode="0.00">
                  <c:v>203.94120000000004</c:v>
                </c:pt>
                <c:pt idx="53" formatCode="0.00">
                  <c:v>203.9402</c:v>
                </c:pt>
                <c:pt idx="54" formatCode="0.00">
                  <c:v>203.86260000000001</c:v>
                </c:pt>
                <c:pt idx="55" formatCode="0.00">
                  <c:v>203.77840000000003</c:v>
                </c:pt>
                <c:pt idx="56" formatCode="0.00">
                  <c:v>203.87460000000002</c:v>
                </c:pt>
                <c:pt idx="57" formatCode="0.00">
                  <c:v>204.09720000000002</c:v>
                </c:pt>
                <c:pt idx="58" formatCode="0.00">
                  <c:v>204.35060000000001</c:v>
                </c:pt>
                <c:pt idx="59" formatCode="0.00">
                  <c:v>204.67520000000002</c:v>
                </c:pt>
                <c:pt idx="60" formatCode="0.00">
                  <c:v>205.01339999999999</c:v>
                </c:pt>
                <c:pt idx="61" formatCode="0.00">
                  <c:v>205.32580000000002</c:v>
                </c:pt>
                <c:pt idx="62" formatCode="0.00">
                  <c:v>205.38520000000005</c:v>
                </c:pt>
                <c:pt idx="63" formatCode="0.00">
                  <c:v>205.40419999999997</c:v>
                </c:pt>
                <c:pt idx="64" formatCode="0.00">
                  <c:v>205.43859999999998</c:v>
                </c:pt>
                <c:pt idx="65" formatCode="0.00">
                  <c:v>205.43499999999997</c:v>
                </c:pt>
                <c:pt idx="66" formatCode="0.00">
                  <c:v>205.39079999999996</c:v>
                </c:pt>
                <c:pt idx="67" formatCode="0.00">
                  <c:v>205.36659999999992</c:v>
                </c:pt>
                <c:pt idx="68" formatCode="0.00">
                  <c:v>205.27699999999993</c:v>
                </c:pt>
                <c:pt idx="69" formatCode="0.00">
                  <c:v>205.30219999999994</c:v>
                </c:pt>
                <c:pt idx="70" formatCode="0.00">
                  <c:v>205.33339999999993</c:v>
                </c:pt>
                <c:pt idx="71" formatCode="0.00">
                  <c:v>205.69299999999993</c:v>
                </c:pt>
                <c:pt idx="72" formatCode="0.00">
                  <c:v>206.08939999999993</c:v>
                </c:pt>
                <c:pt idx="73" formatCode="0.00">
                  <c:v>206.66799999999995</c:v>
                </c:pt>
                <c:pt idx="74" formatCode="0.00">
                  <c:v>207.21259999999998</c:v>
                </c:pt>
                <c:pt idx="75" formatCode="0.00">
                  <c:v>207.78859999999997</c:v>
                </c:pt>
                <c:pt idx="76" formatCode="0.00">
                  <c:v>208.4212</c:v>
                </c:pt>
                <c:pt idx="77" formatCode="0.00">
                  <c:v>209.01140000000004</c:v>
                </c:pt>
                <c:pt idx="78" formatCode="0.00">
                  <c:v>209.58680000000004</c:v>
                </c:pt>
                <c:pt idx="79" formatCode="0.00">
                  <c:v>210.19200000000004</c:v>
                </c:pt>
                <c:pt idx="80" formatCode="0.00">
                  <c:v>210.72480000000004</c:v>
                </c:pt>
                <c:pt idx="81" formatCode="0.00">
                  <c:v>211.21600000000001</c:v>
                </c:pt>
                <c:pt idx="82" formatCode="0.00">
                  <c:v>211.66060000000002</c:v>
                </c:pt>
                <c:pt idx="83" formatCode="0.00">
                  <c:v>212.24020000000002</c:v>
                </c:pt>
                <c:pt idx="84" formatCode="0.00">
                  <c:v>212.79939999999999</c:v>
                </c:pt>
                <c:pt idx="85" formatCode="0.00">
                  <c:v>213.45660000000001</c:v>
                </c:pt>
                <c:pt idx="86" formatCode="0.00">
                  <c:v>214.09799999999998</c:v>
                </c:pt>
                <c:pt idx="87" formatCode="0.00">
                  <c:v>214.8364</c:v>
                </c:pt>
                <c:pt idx="88" formatCode="0.00">
                  <c:v>215.54759999999996</c:v>
                </c:pt>
                <c:pt idx="89" formatCode="0.00">
                  <c:v>216.1219999999999</c:v>
                </c:pt>
                <c:pt idx="90" formatCode="0.00">
                  <c:v>216.86139999999992</c:v>
                </c:pt>
                <c:pt idx="91" formatCode="0.00">
                  <c:v>217.65099999999995</c:v>
                </c:pt>
                <c:pt idx="92" formatCode="0.00">
                  <c:v>218.41359999999997</c:v>
                </c:pt>
                <c:pt idx="93" formatCode="0.00">
                  <c:v>219.15119999999999</c:v>
                </c:pt>
                <c:pt idx="94" formatCode="0.00">
                  <c:v>219.81659999999997</c:v>
                </c:pt>
                <c:pt idx="95" formatCode="0.00">
                  <c:v>220.24899999999997</c:v>
                </c:pt>
                <c:pt idx="96" formatCode="0.00">
                  <c:v>220.69319999999999</c:v>
                </c:pt>
                <c:pt idx="97" formatCode="0.00">
                  <c:v>221.12580000000003</c:v>
                </c:pt>
                <c:pt idx="98" formatCode="0.00">
                  <c:v>221.58880000000005</c:v>
                </c:pt>
                <c:pt idx="99" formatCode="0.00">
                  <c:v>222.15280000000007</c:v>
                </c:pt>
                <c:pt idx="100" formatCode="0.00">
                  <c:v>222.73240000000004</c:v>
                </c:pt>
                <c:pt idx="101" formatCode="0.00">
                  <c:v>223.26720000000006</c:v>
                </c:pt>
                <c:pt idx="102" formatCode="0.00">
                  <c:v>223.92900000000009</c:v>
                </c:pt>
                <c:pt idx="103" formatCode="0.00">
                  <c:v>224.8274000000001</c:v>
                </c:pt>
                <c:pt idx="104" formatCode="0.00">
                  <c:v>225.74360000000004</c:v>
                </c:pt>
                <c:pt idx="105" formatCode="0.00">
                  <c:v>226.60760000000005</c:v>
                </c:pt>
                <c:pt idx="106" formatCode="0.00">
                  <c:v>227.54180000000005</c:v>
                </c:pt>
                <c:pt idx="107" formatCode="0.00">
                  <c:v>228.45060000000004</c:v>
                </c:pt>
                <c:pt idx="108" formatCode="0.00">
                  <c:v>229.31560000000005</c:v>
                </c:pt>
                <c:pt idx="109" formatCode="0.00">
                  <c:v>230.15860000000001</c:v>
                </c:pt>
                <c:pt idx="110" formatCode="0.00">
                  <c:v>230.97960000000003</c:v>
                </c:pt>
                <c:pt idx="111" formatCode="0.00">
                  <c:v>231.83919999999998</c:v>
                </c:pt>
                <c:pt idx="112" formatCode="0.00">
                  <c:v>232.72439999999997</c:v>
                </c:pt>
                <c:pt idx="113" formatCode="0.00">
                  <c:v>233.58059999999998</c:v>
                </c:pt>
                <c:pt idx="114" formatCode="0.00">
                  <c:v>234.42919999999998</c:v>
                </c:pt>
                <c:pt idx="115" formatCode="0.00">
                  <c:v>235.36499999999995</c:v>
                </c:pt>
                <c:pt idx="116" formatCode="0.00">
                  <c:v>236.26480000000001</c:v>
                </c:pt>
                <c:pt idx="117" formatCode="0.00">
                  <c:v>237.0188</c:v>
                </c:pt>
                <c:pt idx="118" formatCode="0.00">
                  <c:v>237.92439999999999</c:v>
                </c:pt>
                <c:pt idx="119" formatCode="0.00">
                  <c:v>238.81279999999998</c:v>
                </c:pt>
                <c:pt idx="120" formatCode="0.00">
                  <c:v>239.74119999999999</c:v>
                </c:pt>
                <c:pt idx="121" formatCode="0.00">
                  <c:v>240.42520000000002</c:v>
                </c:pt>
                <c:pt idx="122" formatCode="0.00">
                  <c:v>241.07040000000001</c:v>
                </c:pt>
                <c:pt idx="123" formatCode="0.00">
                  <c:v>241.72819999999999</c:v>
                </c:pt>
                <c:pt idx="124" formatCode="0.00">
                  <c:v>242.44000000000008</c:v>
                </c:pt>
                <c:pt idx="125" formatCode="0.00">
                  <c:v>243.01600000000005</c:v>
                </c:pt>
                <c:pt idx="126" formatCode="0.00">
                  <c:v>243.54100000000005</c:v>
                </c:pt>
                <c:pt idx="127" formatCode="0.00">
                  <c:v>244.14180000000007</c:v>
                </c:pt>
                <c:pt idx="128" formatCode="0.00">
                  <c:v>244.88620000000006</c:v>
                </c:pt>
                <c:pt idx="129" formatCode="0.00">
                  <c:v>245.64840000000007</c:v>
                </c:pt>
                <c:pt idx="130" formatCode="0.00">
                  <c:v>246.4312000000001</c:v>
                </c:pt>
                <c:pt idx="131" formatCode="0.00">
                  <c:v>247.33900000000008</c:v>
                </c:pt>
                <c:pt idx="132" formatCode="0.00">
                  <c:v>248.24840000000012</c:v>
                </c:pt>
                <c:pt idx="133" formatCode="0.00">
                  <c:v>249.0742000000001</c:v>
                </c:pt>
                <c:pt idx="134" formatCode="0.00">
                  <c:v>249.93180000000012</c:v>
                </c:pt>
                <c:pt idx="135" formatCode="0.00">
                  <c:v>250.74840000000012</c:v>
                </c:pt>
                <c:pt idx="136" formatCode="0.00">
                  <c:v>251.53400000000013</c:v>
                </c:pt>
                <c:pt idx="137" formatCode="0.00">
                  <c:v>252.25220000000007</c:v>
                </c:pt>
                <c:pt idx="138" formatCode="0.00">
                  <c:v>252.99800000000002</c:v>
                </c:pt>
                <c:pt idx="139" formatCode="0.00">
                  <c:v>253.90860000000004</c:v>
                </c:pt>
                <c:pt idx="140" formatCode="0.00">
                  <c:v>254.60860000000005</c:v>
                </c:pt>
                <c:pt idx="141" formatCode="0.00">
                  <c:v>255.27200000000005</c:v>
                </c:pt>
                <c:pt idx="142" formatCode="0.00">
                  <c:v>255.92640000000003</c:v>
                </c:pt>
                <c:pt idx="143" formatCode="0.00">
                  <c:v>256.51800000000003</c:v>
                </c:pt>
                <c:pt idx="144" formatCode="0.00">
                  <c:v>257.17980000000006</c:v>
                </c:pt>
                <c:pt idx="145" formatCode="0.00">
                  <c:v>258.01519999999999</c:v>
                </c:pt>
                <c:pt idx="146" formatCode="0.00">
                  <c:v>258.73960000000005</c:v>
                </c:pt>
                <c:pt idx="147" formatCode="0.00">
                  <c:v>259.488</c:v>
                </c:pt>
                <c:pt idx="148" formatCode="0.00">
                  <c:v>260.2724</c:v>
                </c:pt>
                <c:pt idx="149" formatCode="0.00">
                  <c:v>261.04879999999991</c:v>
                </c:pt>
                <c:pt idx="150" formatCode="0.00">
                  <c:v>261.81999999999994</c:v>
                </c:pt>
                <c:pt idx="151" formatCode="0.00">
                  <c:v>262.63939999999997</c:v>
                </c:pt>
                <c:pt idx="152" formatCode="0.00">
                  <c:v>263.39139999999992</c:v>
                </c:pt>
                <c:pt idx="153" formatCode="0.00">
                  <c:v>263.99359999999996</c:v>
                </c:pt>
                <c:pt idx="154" formatCode="0.00">
                  <c:v>264.58799999999991</c:v>
                </c:pt>
                <c:pt idx="155" formatCode="0.00">
                  <c:v>265.15579999999994</c:v>
                </c:pt>
                <c:pt idx="156" formatCode="0.00">
                  <c:v>265.59399999999999</c:v>
                </c:pt>
                <c:pt idx="157" formatCode="0.00">
                  <c:v>266.04259999999999</c:v>
                </c:pt>
                <c:pt idx="158" formatCode="0.00">
                  <c:v>266.49760000000003</c:v>
                </c:pt>
                <c:pt idx="159" formatCode="0.00">
                  <c:v>266.98060000000004</c:v>
                </c:pt>
                <c:pt idx="160" formatCode="0.00">
                  <c:v>267.43220000000002</c:v>
                </c:pt>
                <c:pt idx="161" formatCode="0.00">
                  <c:v>267.85520000000002</c:v>
                </c:pt>
                <c:pt idx="162" formatCode="0.00">
                  <c:v>268.17700000000002</c:v>
                </c:pt>
                <c:pt idx="163" formatCode="0.00">
                  <c:v>268.5354000000001</c:v>
                </c:pt>
                <c:pt idx="164" formatCode="0.00">
                  <c:v>268.84260000000012</c:v>
                </c:pt>
                <c:pt idx="165" formatCode="0.00">
                  <c:v>269.12520000000006</c:v>
                </c:pt>
                <c:pt idx="166" formatCode="0.00">
                  <c:v>269.51780000000008</c:v>
                </c:pt>
                <c:pt idx="167" formatCode="0.00">
                  <c:v>270.03180000000009</c:v>
                </c:pt>
                <c:pt idx="168" formatCode="0.00">
                  <c:v>270.52580000000012</c:v>
                </c:pt>
                <c:pt idx="169" formatCode="0.00">
                  <c:v>271.04660000000013</c:v>
                </c:pt>
                <c:pt idx="170" formatCode="0.00">
                  <c:v>271.52780000000007</c:v>
                </c:pt>
                <c:pt idx="171" formatCode="0.00">
                  <c:v>272.05400000000009</c:v>
                </c:pt>
                <c:pt idx="172" formatCode="0.00">
                  <c:v>272.46980000000008</c:v>
                </c:pt>
                <c:pt idx="173" formatCode="0.00">
                  <c:v>272.6622000000001</c:v>
                </c:pt>
                <c:pt idx="174" formatCode="0.00">
                  <c:v>272.82700000000006</c:v>
                </c:pt>
                <c:pt idx="175" formatCode="0.00">
                  <c:v>273.00320000000005</c:v>
                </c:pt>
                <c:pt idx="176" formatCode="0.00">
                  <c:v>273.05880000000008</c:v>
                </c:pt>
                <c:pt idx="177" formatCode="0.00">
                  <c:v>273.00900000000007</c:v>
                </c:pt>
                <c:pt idx="178" formatCode="0.00">
                  <c:v>272.81360000000006</c:v>
                </c:pt>
                <c:pt idx="179" formatCode="0.00">
                  <c:v>272.62100000000009</c:v>
                </c:pt>
                <c:pt idx="180" formatCode="0.00">
                  <c:v>272.43200000000013</c:v>
                </c:pt>
                <c:pt idx="181" formatCode="0.00">
                  <c:v>272.22500000000008</c:v>
                </c:pt>
                <c:pt idx="182" formatCode="0.00">
                  <c:v>272.01680000000005</c:v>
                </c:pt>
                <c:pt idx="183" formatCode="0.00">
                  <c:v>271.8</c:v>
                </c:pt>
                <c:pt idx="184" formatCode="0.00">
                  <c:v>271.50979999999998</c:v>
                </c:pt>
                <c:pt idx="185" formatCode="0.00">
                  <c:v>271.041</c:v>
                </c:pt>
                <c:pt idx="186" formatCode="0.00">
                  <c:v>270.59859999999998</c:v>
                </c:pt>
                <c:pt idx="187" formatCode="0.00">
                  <c:v>270.19619999999998</c:v>
                </c:pt>
                <c:pt idx="188" formatCode="0.00">
                  <c:v>269.76839999999999</c:v>
                </c:pt>
                <c:pt idx="189" formatCode="0.00">
                  <c:v>269.37160000000006</c:v>
                </c:pt>
                <c:pt idx="190" formatCode="0.00">
                  <c:v>269.06760000000008</c:v>
                </c:pt>
                <c:pt idx="191" formatCode="0.00">
                  <c:v>268.73740000000004</c:v>
                </c:pt>
                <c:pt idx="192" formatCode="0.00">
                  <c:v>268.45480000000009</c:v>
                </c:pt>
                <c:pt idx="193" formatCode="0.00">
                  <c:v>268.29520000000002</c:v>
                </c:pt>
                <c:pt idx="194" formatCode="0.00">
                  <c:v>268.34660000000002</c:v>
                </c:pt>
                <c:pt idx="195" formatCode="0.00">
                  <c:v>268.36500000000001</c:v>
                </c:pt>
                <c:pt idx="196" formatCode="0.00">
                  <c:v>268.56979999999999</c:v>
                </c:pt>
                <c:pt idx="197" formatCode="0.00">
                  <c:v>268.65820000000002</c:v>
                </c:pt>
                <c:pt idx="198" formatCode="0.00">
                  <c:v>268.7022</c:v>
                </c:pt>
                <c:pt idx="199" formatCode="0.00">
                  <c:v>268.65520000000004</c:v>
                </c:pt>
                <c:pt idx="200" formatCode="0.00">
                  <c:v>268.57780000000002</c:v>
                </c:pt>
                <c:pt idx="201" formatCode="0.00">
                  <c:v>268.51080000000007</c:v>
                </c:pt>
                <c:pt idx="202" formatCode="0.00">
                  <c:v>268.0834000000001</c:v>
                </c:pt>
                <c:pt idx="203" formatCode="0.00">
                  <c:v>267.47520000000009</c:v>
                </c:pt>
                <c:pt idx="204" formatCode="0.00">
                  <c:v>267.06980000000004</c:v>
                </c:pt>
                <c:pt idx="205" formatCode="0.00">
                  <c:v>266.74280000000005</c:v>
                </c:pt>
                <c:pt idx="206" formatCode="0.00">
                  <c:v>266.37880000000007</c:v>
                </c:pt>
                <c:pt idx="207" formatCode="0.00">
                  <c:v>266.11260000000004</c:v>
                </c:pt>
                <c:pt idx="208" formatCode="0.00">
                  <c:v>265.89260000000002</c:v>
                </c:pt>
                <c:pt idx="209" formatCode="0.00">
                  <c:v>265.75979999999998</c:v>
                </c:pt>
                <c:pt idx="210" formatCode="0.00">
                  <c:v>265.68379999999996</c:v>
                </c:pt>
                <c:pt idx="211" formatCode="0.00">
                  <c:v>265.5772</c:v>
                </c:pt>
                <c:pt idx="212" formatCode="0.00">
                  <c:v>265.37860000000001</c:v>
                </c:pt>
                <c:pt idx="213" formatCode="0.00">
                  <c:v>265.18079999999998</c:v>
                </c:pt>
                <c:pt idx="214" formatCode="0.00">
                  <c:v>265.01900000000001</c:v>
                </c:pt>
                <c:pt idx="215" formatCode="0.00">
                  <c:v>264.82559999999995</c:v>
                </c:pt>
                <c:pt idx="216" formatCode="0.00">
                  <c:v>264.55799999999999</c:v>
                </c:pt>
                <c:pt idx="217" formatCode="0.00">
                  <c:v>264.28779999999995</c:v>
                </c:pt>
                <c:pt idx="218" formatCode="0.00">
                  <c:v>264.0381999999999</c:v>
                </c:pt>
                <c:pt idx="219" formatCode="0.00">
                  <c:v>263.77859999999993</c:v>
                </c:pt>
                <c:pt idx="220" formatCode="0.00">
                  <c:v>263.52679999999992</c:v>
                </c:pt>
                <c:pt idx="221" formatCode="0.00">
                  <c:v>263.16679999999991</c:v>
                </c:pt>
                <c:pt idx="222" formatCode="0.00">
                  <c:v>262.70759999999996</c:v>
                </c:pt>
                <c:pt idx="223" formatCode="0.00">
                  <c:v>262.32679999999999</c:v>
                </c:pt>
                <c:pt idx="224" formatCode="0.00">
                  <c:v>261.99119999999994</c:v>
                </c:pt>
                <c:pt idx="225" formatCode="0.00">
                  <c:v>261.64479999999998</c:v>
                </c:pt>
                <c:pt idx="226" formatCode="0.00">
                  <c:v>261.37679999999995</c:v>
                </c:pt>
                <c:pt idx="227" formatCode="0.00">
                  <c:v>261.12999999999994</c:v>
                </c:pt>
                <c:pt idx="228" formatCode="0.00">
                  <c:v>260.97899999999998</c:v>
                </c:pt>
                <c:pt idx="229" formatCode="0.00">
                  <c:v>260.82439999999997</c:v>
                </c:pt>
                <c:pt idx="230" formatCode="0.00">
                  <c:v>260.67179999999996</c:v>
                </c:pt>
                <c:pt idx="231" formatCode="0.00">
                  <c:v>260.5086</c:v>
                </c:pt>
                <c:pt idx="232" formatCode="0.00">
                  <c:v>260.28539999999998</c:v>
                </c:pt>
                <c:pt idx="233" formatCode="0.00">
                  <c:v>260.05379999999997</c:v>
                </c:pt>
                <c:pt idx="234" formatCode="0.00">
                  <c:v>260.01900000000001</c:v>
                </c:pt>
                <c:pt idx="235" formatCode="0.00">
                  <c:v>260.19759999999997</c:v>
                </c:pt>
                <c:pt idx="236" formatCode="0.00">
                  <c:v>260.36299999999994</c:v>
                </c:pt>
                <c:pt idx="237" formatCode="0.00">
                  <c:v>260.57319999999999</c:v>
                </c:pt>
                <c:pt idx="238" formatCode="0.00">
                  <c:v>260.68239999999997</c:v>
                </c:pt>
                <c:pt idx="239" formatCode="0.00">
                  <c:v>260.75220000000002</c:v>
                </c:pt>
                <c:pt idx="240" formatCode="0.00">
                  <c:v>260.79660000000001</c:v>
                </c:pt>
                <c:pt idx="241" formatCode="0.00">
                  <c:v>260.87739999999997</c:v>
                </c:pt>
                <c:pt idx="242" formatCode="0.00">
                  <c:v>260.89580000000001</c:v>
                </c:pt>
                <c:pt idx="243" formatCode="0.00">
                  <c:v>260.88279999999997</c:v>
                </c:pt>
                <c:pt idx="244" formatCode="0.00">
                  <c:v>260.81119999999993</c:v>
                </c:pt>
                <c:pt idx="245" formatCode="0.00">
                  <c:v>260.68959999999998</c:v>
                </c:pt>
                <c:pt idx="246" formatCode="0.00">
                  <c:v>260.56439999999998</c:v>
                </c:pt>
                <c:pt idx="247" formatCode="0.00">
                  <c:v>260.50719999999995</c:v>
                </c:pt>
                <c:pt idx="248" formatCode="0.00">
                  <c:v>260.26819999999992</c:v>
                </c:pt>
                <c:pt idx="249" formatCode="0.00">
                  <c:v>260.23919999999993</c:v>
                </c:pt>
                <c:pt idx="250" formatCode="0.00">
                  <c:v>260.23419999999993</c:v>
                </c:pt>
                <c:pt idx="251" formatCode="0.00">
                  <c:v>260.14539999999994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2D0D-4F9A-8097-7D82A109C37C}"/>
            </c:ext>
          </c:extLst>
        </c:ser>
        <c:ser>
          <c:idx val="3"/>
          <c:order val="3"/>
          <c:tx>
            <c:strRef>
              <c:f>Analysis!$B$1</c:f>
              <c:strCache>
                <c:ptCount val="1"/>
                <c:pt idx="0">
                  <c:v>Closing Price</c:v>
                </c:pt>
              </c:strCache>
            </c:strRef>
          </c:tx>
          <c:spPr>
            <a:ln w="2540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val>
            <c:numRef>
              <c:f>Analysis!$B$2:$B$253</c:f>
              <c:numCache>
                <c:formatCode>0.00</c:formatCode>
                <c:ptCount val="252"/>
                <c:pt idx="0">
                  <c:v>208.37</c:v>
                </c:pt>
                <c:pt idx="1">
                  <c:v>209.28</c:v>
                </c:pt>
                <c:pt idx="2">
                  <c:v>210.14</c:v>
                </c:pt>
                <c:pt idx="3">
                  <c:v>211.21</c:v>
                </c:pt>
                <c:pt idx="4">
                  <c:v>212.5</c:v>
                </c:pt>
                <c:pt idx="5">
                  <c:v>213.32</c:v>
                </c:pt>
                <c:pt idx="6">
                  <c:v>205.35</c:v>
                </c:pt>
                <c:pt idx="7">
                  <c:v>198.89</c:v>
                </c:pt>
                <c:pt idx="8">
                  <c:v>198.51</c:v>
                </c:pt>
                <c:pt idx="9">
                  <c:v>196.25</c:v>
                </c:pt>
                <c:pt idx="10">
                  <c:v>197.49</c:v>
                </c:pt>
                <c:pt idx="11">
                  <c:v>198.53</c:v>
                </c:pt>
                <c:pt idx="12">
                  <c:v>210.79</c:v>
                </c:pt>
                <c:pt idx="13">
                  <c:v>212.93</c:v>
                </c:pt>
                <c:pt idx="14">
                  <c:v>212.33</c:v>
                </c:pt>
                <c:pt idx="15">
                  <c:v>211.45</c:v>
                </c:pt>
                <c:pt idx="16">
                  <c:v>211.26</c:v>
                </c:pt>
                <c:pt idx="17">
                  <c:v>208.78</c:v>
                </c:pt>
                <c:pt idx="18">
                  <c:v>206.86</c:v>
                </c:pt>
                <c:pt idx="19">
                  <c:v>202.09</c:v>
                </c:pt>
                <c:pt idx="20">
                  <c:v>201.36</c:v>
                </c:pt>
                <c:pt idx="21">
                  <c:v>195.27</c:v>
                </c:pt>
                <c:pt idx="22">
                  <c:v>200.21</c:v>
                </c:pt>
                <c:pt idx="23">
                  <c:v>200.42</c:v>
                </c:pt>
                <c:pt idx="24">
                  <c:v>199.95</c:v>
                </c:pt>
                <c:pt idx="25">
                  <c:v>200.85</c:v>
                </c:pt>
                <c:pt idx="26">
                  <c:v>201.7</c:v>
                </c:pt>
                <c:pt idx="27">
                  <c:v>203.27</c:v>
                </c:pt>
                <c:pt idx="28">
                  <c:v>202.82</c:v>
                </c:pt>
                <c:pt idx="29">
                  <c:v>200.63</c:v>
                </c:pt>
                <c:pt idx="30">
                  <c:v>203.92</c:v>
                </c:pt>
                <c:pt idx="31">
                  <c:v>201.45</c:v>
                </c:pt>
                <c:pt idx="32">
                  <c:v>202.67</c:v>
                </c:pt>
                <c:pt idx="33">
                  <c:v>198.78</c:v>
                </c:pt>
                <c:pt idx="34">
                  <c:v>199.2</c:v>
                </c:pt>
                <c:pt idx="35">
                  <c:v>196.45</c:v>
                </c:pt>
                <c:pt idx="36">
                  <c:v>198.42</c:v>
                </c:pt>
                <c:pt idx="37">
                  <c:v>195.64</c:v>
                </c:pt>
                <c:pt idx="38">
                  <c:v>196.58</c:v>
                </c:pt>
                <c:pt idx="39">
                  <c:v>201</c:v>
                </c:pt>
                <c:pt idx="40">
                  <c:v>201.5</c:v>
                </c:pt>
                <c:pt idx="41">
                  <c:v>200.3</c:v>
                </c:pt>
                <c:pt idx="42">
                  <c:v>201.56</c:v>
                </c:pt>
                <c:pt idx="43">
                  <c:v>201</c:v>
                </c:pt>
                <c:pt idx="44">
                  <c:v>201.08</c:v>
                </c:pt>
                <c:pt idx="45">
                  <c:v>205.17</c:v>
                </c:pt>
                <c:pt idx="46">
                  <c:v>207.82</c:v>
                </c:pt>
                <c:pt idx="47">
                  <c:v>212.44</c:v>
                </c:pt>
                <c:pt idx="48">
                  <c:v>213.55</c:v>
                </c:pt>
                <c:pt idx="49">
                  <c:v>209.95</c:v>
                </c:pt>
                <c:pt idx="50">
                  <c:v>210.01</c:v>
                </c:pt>
                <c:pt idx="51">
                  <c:v>211.14</c:v>
                </c:pt>
                <c:pt idx="52">
                  <c:v>212.41</c:v>
                </c:pt>
                <c:pt idx="53">
                  <c:v>211.16</c:v>
                </c:pt>
                <c:pt idx="54">
                  <c:v>208.62</c:v>
                </c:pt>
                <c:pt idx="55">
                  <c:v>209.11</c:v>
                </c:pt>
                <c:pt idx="56">
                  <c:v>210.16</c:v>
                </c:pt>
                <c:pt idx="57">
                  <c:v>210.02</c:v>
                </c:pt>
                <c:pt idx="58">
                  <c:v>211.18</c:v>
                </c:pt>
                <c:pt idx="59">
                  <c:v>212.48</c:v>
                </c:pt>
                <c:pt idx="60">
                  <c:v>214.4</c:v>
                </c:pt>
                <c:pt idx="61">
                  <c:v>214.15</c:v>
                </c:pt>
                <c:pt idx="62">
                  <c:v>213.76</c:v>
                </c:pt>
                <c:pt idx="63">
                  <c:v>213.88</c:v>
                </c:pt>
                <c:pt idx="64">
                  <c:v>214.05</c:v>
                </c:pt>
                <c:pt idx="65">
                  <c:v>211.27</c:v>
                </c:pt>
                <c:pt idx="66">
                  <c:v>209.05</c:v>
                </c:pt>
                <c:pt idx="67">
                  <c:v>207.57</c:v>
                </c:pt>
                <c:pt idx="68">
                  <c:v>202.38</c:v>
                </c:pt>
                <c:pt idx="69">
                  <c:v>203.35</c:v>
                </c:pt>
                <c:pt idx="70">
                  <c:v>202.92</c:v>
                </c:pt>
                <c:pt idx="71">
                  <c:v>213.25</c:v>
                </c:pt>
                <c:pt idx="72">
                  <c:v>220.03</c:v>
                </c:pt>
                <c:pt idx="73">
                  <c:v>229.35</c:v>
                </c:pt>
                <c:pt idx="74">
                  <c:v>227.18</c:v>
                </c:pt>
                <c:pt idx="75">
                  <c:v>229.65</c:v>
                </c:pt>
                <c:pt idx="76">
                  <c:v>233.33</c:v>
                </c:pt>
                <c:pt idx="77">
                  <c:v>232.78</c:v>
                </c:pt>
                <c:pt idx="78">
                  <c:v>231.59</c:v>
                </c:pt>
                <c:pt idx="79">
                  <c:v>230.89</c:v>
                </c:pt>
                <c:pt idx="80">
                  <c:v>230.56</c:v>
                </c:pt>
                <c:pt idx="81">
                  <c:v>226.01</c:v>
                </c:pt>
                <c:pt idx="82">
                  <c:v>224.9</c:v>
                </c:pt>
                <c:pt idx="83">
                  <c:v>227.76</c:v>
                </c:pt>
                <c:pt idx="84">
                  <c:v>227.16</c:v>
                </c:pt>
                <c:pt idx="85">
                  <c:v>229.31</c:v>
                </c:pt>
                <c:pt idx="86">
                  <c:v>230.49</c:v>
                </c:pt>
                <c:pt idx="87">
                  <c:v>232.56</c:v>
                </c:pt>
                <c:pt idx="88">
                  <c:v>232.14</c:v>
                </c:pt>
                <c:pt idx="89">
                  <c:v>229.72</c:v>
                </c:pt>
                <c:pt idx="90">
                  <c:v>238.47</c:v>
                </c:pt>
                <c:pt idx="91">
                  <c:v>239.78</c:v>
                </c:pt>
                <c:pt idx="92">
                  <c:v>239.69</c:v>
                </c:pt>
                <c:pt idx="93">
                  <c:v>237.88</c:v>
                </c:pt>
                <c:pt idx="94">
                  <c:v>234.35</c:v>
                </c:pt>
                <c:pt idx="95">
                  <c:v>226.79</c:v>
                </c:pt>
                <c:pt idx="96">
                  <c:v>230.03</c:v>
                </c:pt>
                <c:pt idx="97">
                  <c:v>234.07</c:v>
                </c:pt>
                <c:pt idx="98">
                  <c:v>236.7</c:v>
                </c:pt>
                <c:pt idx="99">
                  <c:v>238.15</c:v>
                </c:pt>
                <c:pt idx="100">
                  <c:v>238.99</c:v>
                </c:pt>
                <c:pt idx="101">
                  <c:v>237.88</c:v>
                </c:pt>
                <c:pt idx="102">
                  <c:v>245.5</c:v>
                </c:pt>
                <c:pt idx="103">
                  <c:v>256.08</c:v>
                </c:pt>
                <c:pt idx="104">
                  <c:v>254.43</c:v>
                </c:pt>
                <c:pt idx="105">
                  <c:v>252.31</c:v>
                </c:pt>
                <c:pt idx="106">
                  <c:v>256.87</c:v>
                </c:pt>
                <c:pt idx="107">
                  <c:v>255.46</c:v>
                </c:pt>
                <c:pt idx="108">
                  <c:v>254.43</c:v>
                </c:pt>
                <c:pt idx="109">
                  <c:v>254.63</c:v>
                </c:pt>
                <c:pt idx="110">
                  <c:v>255.45</c:v>
                </c:pt>
                <c:pt idx="111">
                  <c:v>257.13</c:v>
                </c:pt>
                <c:pt idx="112">
                  <c:v>258.02</c:v>
                </c:pt>
                <c:pt idx="113">
                  <c:v>256.69</c:v>
                </c:pt>
                <c:pt idx="114">
                  <c:v>256.48</c:v>
                </c:pt>
                <c:pt idx="115">
                  <c:v>258.06</c:v>
                </c:pt>
                <c:pt idx="116">
                  <c:v>254.04</c:v>
                </c:pt>
                <c:pt idx="117">
                  <c:v>245.27</c:v>
                </c:pt>
                <c:pt idx="118">
                  <c:v>247.66</c:v>
                </c:pt>
                <c:pt idx="119">
                  <c:v>247.77</c:v>
                </c:pt>
                <c:pt idx="120">
                  <c:v>249.34</c:v>
                </c:pt>
                <c:pt idx="121">
                  <c:v>247.45</c:v>
                </c:pt>
                <c:pt idx="122">
                  <c:v>252.29</c:v>
                </c:pt>
                <c:pt idx="123">
                  <c:v>262.24</c:v>
                </c:pt>
                <c:pt idx="124">
                  <c:v>262.77</c:v>
                </c:pt>
                <c:pt idx="125">
                  <c:v>258.45</c:v>
                </c:pt>
                <c:pt idx="126">
                  <c:v>259.58</c:v>
                </c:pt>
                <c:pt idx="127">
                  <c:v>262.82</c:v>
                </c:pt>
                <c:pt idx="128">
                  <c:v>268.81</c:v>
                </c:pt>
                <c:pt idx="129">
                  <c:v>269</c:v>
                </c:pt>
                <c:pt idx="130">
                  <c:v>269.7</c:v>
                </c:pt>
                <c:pt idx="131">
                  <c:v>271.39999999999998</c:v>
                </c:pt>
                <c:pt idx="132">
                  <c:v>270.37</c:v>
                </c:pt>
                <c:pt idx="133">
                  <c:v>269.05</c:v>
                </c:pt>
                <c:pt idx="134">
                  <c:v>270.04000000000002</c:v>
                </c:pt>
                <c:pt idx="135">
                  <c:v>270.14</c:v>
                </c:pt>
                <c:pt idx="136">
                  <c:v>269.77</c:v>
                </c:pt>
                <c:pt idx="137">
                  <c:v>268.47000000000003</c:v>
                </c:pt>
                <c:pt idx="138">
                  <c:v>269.43</c:v>
                </c:pt>
                <c:pt idx="139">
                  <c:v>275.25</c:v>
                </c:pt>
                <c:pt idx="140">
                  <c:v>273.47000000000003</c:v>
                </c:pt>
                <c:pt idx="141">
                  <c:v>272.95</c:v>
                </c:pt>
                <c:pt idx="142">
                  <c:v>272.41000000000003</c:v>
                </c:pt>
                <c:pt idx="143">
                  <c:v>267.45999999999998</c:v>
                </c:pt>
                <c:pt idx="144">
                  <c:v>267.44</c:v>
                </c:pt>
                <c:pt idx="145">
                  <c:v>268.56</c:v>
                </c:pt>
                <c:pt idx="146">
                  <c:v>266.25</c:v>
                </c:pt>
                <c:pt idx="147">
                  <c:v>271.49</c:v>
                </c:pt>
                <c:pt idx="148">
                  <c:v>275.92</c:v>
                </c:pt>
                <c:pt idx="149">
                  <c:v>276.97000000000003</c:v>
                </c:pt>
                <c:pt idx="150">
                  <c:v>277.55</c:v>
                </c:pt>
                <c:pt idx="151">
                  <c:v>278.85000000000002</c:v>
                </c:pt>
                <c:pt idx="152">
                  <c:v>283.10000000000002</c:v>
                </c:pt>
                <c:pt idx="153">
                  <c:v>286.19</c:v>
                </c:pt>
                <c:pt idx="154">
                  <c:v>284.14999999999998</c:v>
                </c:pt>
                <c:pt idx="155">
                  <c:v>280.7</c:v>
                </c:pt>
                <c:pt idx="156">
                  <c:v>278.77999999999997</c:v>
                </c:pt>
                <c:pt idx="157">
                  <c:v>277.89</c:v>
                </c:pt>
                <c:pt idx="158">
                  <c:v>277.18</c:v>
                </c:pt>
                <c:pt idx="159">
                  <c:v>278.77999999999997</c:v>
                </c:pt>
                <c:pt idx="160">
                  <c:v>278.02999999999997</c:v>
                </c:pt>
                <c:pt idx="161">
                  <c:v>278.27999999999997</c:v>
                </c:pt>
                <c:pt idx="162">
                  <c:v>274.11</c:v>
                </c:pt>
                <c:pt idx="163">
                  <c:v>274.61</c:v>
                </c:pt>
                <c:pt idx="164">
                  <c:v>271.83999999999997</c:v>
                </c:pt>
                <c:pt idx="165">
                  <c:v>272.19</c:v>
                </c:pt>
                <c:pt idx="166">
                  <c:v>273.67</c:v>
                </c:pt>
                <c:pt idx="167">
                  <c:v>270.97000000000003</c:v>
                </c:pt>
                <c:pt idx="168">
                  <c:v>272.36</c:v>
                </c:pt>
                <c:pt idx="169">
                  <c:v>273.81</c:v>
                </c:pt>
                <c:pt idx="170">
                  <c:v>273.39999999999998</c:v>
                </c:pt>
                <c:pt idx="171">
                  <c:v>273.76</c:v>
                </c:pt>
                <c:pt idx="172">
                  <c:v>273.08</c:v>
                </c:pt>
                <c:pt idx="173">
                  <c:v>271.86</c:v>
                </c:pt>
                <c:pt idx="174">
                  <c:v>271.01</c:v>
                </c:pt>
                <c:pt idx="175">
                  <c:v>267.26</c:v>
                </c:pt>
                <c:pt idx="176">
                  <c:v>262.36</c:v>
                </c:pt>
                <c:pt idx="177">
                  <c:v>260.33</c:v>
                </c:pt>
                <c:pt idx="178">
                  <c:v>259.04000000000002</c:v>
                </c:pt>
                <c:pt idx="179">
                  <c:v>259.37</c:v>
                </c:pt>
                <c:pt idx="180">
                  <c:v>260.25</c:v>
                </c:pt>
                <c:pt idx="181">
                  <c:v>261.05</c:v>
                </c:pt>
                <c:pt idx="182">
                  <c:v>259.95999999999998</c:v>
                </c:pt>
                <c:pt idx="183">
                  <c:v>258.20999999999998</c:v>
                </c:pt>
                <c:pt idx="184">
                  <c:v>255.53</c:v>
                </c:pt>
                <c:pt idx="185">
                  <c:v>246.7</c:v>
                </c:pt>
                <c:pt idx="186">
                  <c:v>247.65</c:v>
                </c:pt>
                <c:pt idx="187">
                  <c:v>248.35</c:v>
                </c:pt>
                <c:pt idx="188">
                  <c:v>248.04</c:v>
                </c:pt>
                <c:pt idx="189">
                  <c:v>255.41</c:v>
                </c:pt>
                <c:pt idx="190">
                  <c:v>258.27</c:v>
                </c:pt>
                <c:pt idx="191">
                  <c:v>256.44</c:v>
                </c:pt>
                <c:pt idx="192">
                  <c:v>258.27999999999997</c:v>
                </c:pt>
                <c:pt idx="193">
                  <c:v>259.48</c:v>
                </c:pt>
                <c:pt idx="194">
                  <c:v>270.01</c:v>
                </c:pt>
                <c:pt idx="195">
                  <c:v>269.48</c:v>
                </c:pt>
                <c:pt idx="196">
                  <c:v>276.49</c:v>
                </c:pt>
                <c:pt idx="197">
                  <c:v>275.91000000000003</c:v>
                </c:pt>
                <c:pt idx="198">
                  <c:v>278.12</c:v>
                </c:pt>
                <c:pt idx="199">
                  <c:v>274.62</c:v>
                </c:pt>
                <c:pt idx="200">
                  <c:v>273.68</c:v>
                </c:pt>
                <c:pt idx="201">
                  <c:v>275.5</c:v>
                </c:pt>
                <c:pt idx="202">
                  <c:v>261.73</c:v>
                </c:pt>
                <c:pt idx="203">
                  <c:v>255.78</c:v>
                </c:pt>
                <c:pt idx="204">
                  <c:v>263.88</c:v>
                </c:pt>
                <c:pt idx="205">
                  <c:v>264.35000000000002</c:v>
                </c:pt>
                <c:pt idx="206">
                  <c:v>260.58</c:v>
                </c:pt>
                <c:pt idx="207">
                  <c:v>264.58</c:v>
                </c:pt>
                <c:pt idx="208">
                  <c:v>266.18</c:v>
                </c:pt>
                <c:pt idx="209">
                  <c:v>272.14</c:v>
                </c:pt>
                <c:pt idx="210">
                  <c:v>274.23</c:v>
                </c:pt>
                <c:pt idx="211">
                  <c:v>272.95</c:v>
                </c:pt>
                <c:pt idx="212">
                  <c:v>264.18</c:v>
                </c:pt>
                <c:pt idx="213">
                  <c:v>264.72000000000003</c:v>
                </c:pt>
                <c:pt idx="214">
                  <c:v>263.75</c:v>
                </c:pt>
                <c:pt idx="215">
                  <c:v>262.52</c:v>
                </c:pt>
                <c:pt idx="216">
                  <c:v>260.29000000000002</c:v>
                </c:pt>
                <c:pt idx="217">
                  <c:v>257.45999999999998</c:v>
                </c:pt>
                <c:pt idx="218">
                  <c:v>259.88</c:v>
                </c:pt>
                <c:pt idx="219">
                  <c:v>260.83</c:v>
                </c:pt>
                <c:pt idx="220">
                  <c:v>260.81</c:v>
                </c:pt>
                <c:pt idx="221">
                  <c:v>255.76</c:v>
                </c:pt>
                <c:pt idx="222">
                  <c:v>250.12</c:v>
                </c:pt>
                <c:pt idx="223">
                  <c:v>252.82</c:v>
                </c:pt>
                <c:pt idx="224">
                  <c:v>254.23</c:v>
                </c:pt>
                <c:pt idx="225">
                  <c:v>249.94</c:v>
                </c:pt>
                <c:pt idx="226">
                  <c:v>248.96</c:v>
                </c:pt>
                <c:pt idx="227">
                  <c:v>247.99</c:v>
                </c:pt>
                <c:pt idx="228">
                  <c:v>251.49</c:v>
                </c:pt>
                <c:pt idx="229">
                  <c:v>251.64</c:v>
                </c:pt>
                <c:pt idx="230">
                  <c:v>252.62</c:v>
                </c:pt>
                <c:pt idx="231">
                  <c:v>252.89</c:v>
                </c:pt>
                <c:pt idx="232">
                  <c:v>248.8</c:v>
                </c:pt>
                <c:pt idx="233">
                  <c:v>246.63</c:v>
                </c:pt>
                <c:pt idx="234">
                  <c:v>253.79</c:v>
                </c:pt>
                <c:pt idx="235">
                  <c:v>255.63</c:v>
                </c:pt>
                <c:pt idx="236">
                  <c:v>255.92</c:v>
                </c:pt>
                <c:pt idx="237">
                  <c:v>258.86</c:v>
                </c:pt>
                <c:pt idx="238">
                  <c:v>253.5</c:v>
                </c:pt>
                <c:pt idx="239">
                  <c:v>258.89999999999998</c:v>
                </c:pt>
                <c:pt idx="240">
                  <c:v>260.49</c:v>
                </c:pt>
                <c:pt idx="241">
                  <c:v>260.48</c:v>
                </c:pt>
                <c:pt idx="242">
                  <c:v>259.2</c:v>
                </c:pt>
                <c:pt idx="243">
                  <c:v>258.83</c:v>
                </c:pt>
                <c:pt idx="244">
                  <c:v>266.43</c:v>
                </c:pt>
                <c:pt idx="245">
                  <c:v>263.39999999999998</c:v>
                </c:pt>
                <c:pt idx="246">
                  <c:v>270.23</c:v>
                </c:pt>
                <c:pt idx="247">
                  <c:v>273.05</c:v>
                </c:pt>
                <c:pt idx="248">
                  <c:v>266.17</c:v>
                </c:pt>
                <c:pt idx="249">
                  <c:v>273.17</c:v>
                </c:pt>
                <c:pt idx="250">
                  <c:v>273.43</c:v>
                </c:pt>
                <c:pt idx="251">
                  <c:v>271.06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D0D-4F9A-8097-7D82A109C3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75240207"/>
        <c:axId val="1875240687"/>
      </c:lineChart>
      <c:catAx>
        <c:axId val="1875240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5240687"/>
        <c:crosses val="autoZero"/>
        <c:auto val="1"/>
        <c:lblAlgn val="ctr"/>
        <c:lblOffset val="100"/>
        <c:tickLblSkip val="20"/>
        <c:noMultiLvlLbl val="0"/>
      </c:catAx>
      <c:valAx>
        <c:axId val="1875240687"/>
        <c:scaling>
          <c:orientation val="minMax"/>
          <c:max val="290"/>
          <c:min val="19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5240207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</xdr:colOff>
      <xdr:row>9</xdr:row>
      <xdr:rowOff>102870</xdr:rowOff>
    </xdr:from>
    <xdr:to>
      <xdr:col>11</xdr:col>
      <xdr:colOff>775335</xdr:colOff>
      <xdr:row>24</xdr:row>
      <xdr:rowOff>102870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9D7D723-A4F8-0077-C073-C085BAF5E9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A8C8505-B194-4E35-B29E-6D5254257AE8}" name="Table2" displayName="Table2" ref="A1:F253" totalsRowShown="0">
  <autoFilter ref="A1:F253" xr:uid="{4A8C8505-B194-4E35-B29E-6D5254257AE8}"/>
  <tableColumns count="6">
    <tableColumn id="1" xr3:uid="{506902CC-5145-407A-A319-F730CEAD5327}" name="Date" dataDxfId="2">
      <calculatedColumnFormula>Table1[[#This Row],[Date]]</calculatedColumnFormula>
    </tableColumn>
    <tableColumn id="2" xr3:uid="{76B6E809-D0CB-4BDA-AD96-5005264E0740}" name="Closing Price" dataDxfId="0">
      <calculatedColumnFormula>Table1[[#This Row],[Price]]</calculatedColumnFormula>
    </tableColumn>
    <tableColumn id="3" xr3:uid="{85CAEEEC-F7F1-42A0-B62C-B0F33FBA739D}" name="Daily Return" dataDxfId="1" dataCellStyle="Percent">
      <calculatedColumnFormula>(B2-B1)/B1</calculatedColumnFormula>
    </tableColumn>
    <tableColumn id="4" xr3:uid="{85F15A3A-412E-40AD-A10C-94ED7F4628FC}" name="10-Day MA" dataDxfId="5"/>
    <tableColumn id="5" xr3:uid="{98BF32DE-D8B7-41FA-8482-643EED5642FC}" name="20-Day MA" dataDxfId="4"/>
    <tableColumn id="6" xr3:uid="{DC88EDBC-4750-434D-8468-DCE232E6F05A}" name="50-Day MA" dataDxfId="3"/>
  </tableColumns>
  <tableStyleInfo name="TableStyleMedium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3EA222-5476-4B04-9674-37D362BC0B65}" name="Table1" displayName="Table1" ref="A1:G253" totalsRowShown="0" headerRowDxfId="14" dataDxfId="13">
  <autoFilter ref="A1:G253" xr:uid="{2B3EA222-5476-4B04-9674-37D362BC0B65}"/>
  <sortState xmlns:xlrd2="http://schemas.microsoft.com/office/spreadsheetml/2017/richdata2" ref="A2:G253">
    <sortCondition ref="A1:A253"/>
  </sortState>
  <tableColumns count="7">
    <tableColumn id="1" xr3:uid="{5CF7F0C2-6F22-4E43-AC1F-EF9C81030A3D}" name="Date" dataDxfId="12"/>
    <tableColumn id="2" xr3:uid="{FA096AD6-3F13-4117-AA69-3D7D09DF144C}" name="Price" dataDxfId="11"/>
    <tableColumn id="3" xr3:uid="{F9E912B5-770A-4DA5-8978-1C8F99EC87F0}" name="Open" dataDxfId="10"/>
    <tableColumn id="4" xr3:uid="{D06B1618-6D3A-4F64-9F3F-6062E955A30B}" name="High" dataDxfId="9"/>
    <tableColumn id="5" xr3:uid="{73F3A89E-00A3-4F01-8055-6680BF0BCCFD}" name="Low" dataDxfId="8"/>
    <tableColumn id="6" xr3:uid="{04900688-5A38-4E66-8A98-AACCE0FB969D}" name="Vol." dataDxfId="7"/>
    <tableColumn id="7" xr3:uid="{09BE5316-BC3D-482B-ACE0-E89D18C38EBC}" name="Change %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0B0DE-5249-4BDE-A5E6-EA228F986F3C}">
  <dimension ref="A1:L254"/>
  <sheetViews>
    <sheetView tabSelected="1" zoomScale="80" zoomScaleNormal="80" workbookViewId="0">
      <selection activeCell="N31" sqref="N31"/>
    </sheetView>
  </sheetViews>
  <sheetFormatPr defaultColWidth="13.33203125" defaultRowHeight="14.4" x14ac:dyDescent="0.3"/>
  <cols>
    <col min="1" max="1" width="11.21875" style="1" bestFit="1" customWidth="1"/>
    <col min="2" max="2" width="16.21875" style="1" bestFit="1" customWidth="1"/>
    <col min="3" max="3" width="15.44140625" style="4" bestFit="1" customWidth="1"/>
    <col min="4" max="4" width="11.88671875" style="8" bestFit="1" customWidth="1"/>
    <col min="5" max="5" width="11.88671875" style="1" bestFit="1" customWidth="1"/>
    <col min="6" max="6" width="11.88671875" style="5" bestFit="1" customWidth="1"/>
    <col min="7" max="7" width="13.6640625" style="1" bestFit="1" customWidth="1"/>
    <col min="8" max="8" width="27.33203125" style="1" bestFit="1" customWidth="1"/>
    <col min="9" max="10" width="13.33203125" style="1"/>
    <col min="11" max="11" width="24.5546875" style="1" bestFit="1" customWidth="1"/>
    <col min="12" max="16384" width="13.33203125" style="1"/>
  </cols>
  <sheetData>
    <row r="1" spans="1:10" x14ac:dyDescent="0.3">
      <c r="A1" s="1" t="s">
        <v>0</v>
      </c>
      <c r="B1" s="1" t="s">
        <v>251</v>
      </c>
      <c r="C1" s="4" t="s">
        <v>252</v>
      </c>
      <c r="D1" s="9" t="s">
        <v>260</v>
      </c>
      <c r="E1" s="5" t="s">
        <v>261</v>
      </c>
      <c r="F1" s="5" t="s">
        <v>262</v>
      </c>
    </row>
    <row r="2" spans="1:10" ht="15.6" x14ac:dyDescent="0.3">
      <c r="A2" s="2">
        <f>Table1[[#This Row],[Date]]</f>
        <v>45771</v>
      </c>
      <c r="B2" s="8">
        <f>Table1[[#This Row],[Price]]</f>
        <v>208.37</v>
      </c>
      <c r="C2" s="11" t="s">
        <v>263</v>
      </c>
      <c r="D2" s="10" t="s">
        <v>263</v>
      </c>
      <c r="E2" s="1" t="s">
        <v>263</v>
      </c>
      <c r="F2" s="1" t="s">
        <v>263</v>
      </c>
      <c r="H2" s="13" t="s">
        <v>265</v>
      </c>
      <c r="I2" s="14">
        <f>AVERAGE(C3:C253)</f>
        <v>1.1557614594417916E-3</v>
      </c>
    </row>
    <row r="3" spans="1:10" ht="15.6" x14ac:dyDescent="0.3">
      <c r="A3" s="2">
        <f>Table1[[#This Row],[Date]]</f>
        <v>45772</v>
      </c>
      <c r="B3" s="8">
        <f>Table1[[#This Row],[Price]]</f>
        <v>209.28</v>
      </c>
      <c r="C3" s="4">
        <f>(B3-B2)/B2</f>
        <v>4.3672313672793424E-3</v>
      </c>
      <c r="D3" s="10" t="s">
        <v>263</v>
      </c>
      <c r="E3" s="1" t="s">
        <v>263</v>
      </c>
      <c r="F3" s="1" t="s">
        <v>263</v>
      </c>
      <c r="H3" s="13" t="s">
        <v>266</v>
      </c>
      <c r="I3" s="15">
        <f>STDEV(C3:C253)</f>
        <v>1.4715317808298697E-2</v>
      </c>
    </row>
    <row r="4" spans="1:10" ht="15.6" x14ac:dyDescent="0.3">
      <c r="A4" s="2">
        <f>Table1[[#This Row],[Date]]</f>
        <v>45775</v>
      </c>
      <c r="B4" s="8">
        <f>Table1[[#This Row],[Price]]</f>
        <v>210.14</v>
      </c>
      <c r="C4" s="4">
        <f t="shared" ref="C4:C67" si="0">(B4-B3)/B3</f>
        <v>4.1093272171253119E-3</v>
      </c>
      <c r="D4" s="10" t="s">
        <v>263</v>
      </c>
      <c r="E4" s="1" t="s">
        <v>263</v>
      </c>
      <c r="F4" s="1" t="s">
        <v>263</v>
      </c>
      <c r="H4" s="13" t="s">
        <v>267</v>
      </c>
      <c r="I4" s="15">
        <f>(B253/B2)-1</f>
        <v>0.30085904880740988</v>
      </c>
    </row>
    <row r="5" spans="1:10" ht="15.6" x14ac:dyDescent="0.3">
      <c r="A5" s="2">
        <f>Table1[[#This Row],[Date]]</f>
        <v>45776</v>
      </c>
      <c r="B5" s="8">
        <f>Table1[[#This Row],[Price]]</f>
        <v>211.21</v>
      </c>
      <c r="C5" s="4">
        <f t="shared" si="0"/>
        <v>5.091843532882943E-3</v>
      </c>
      <c r="D5" s="10" t="s">
        <v>263</v>
      </c>
      <c r="E5" s="1" t="s">
        <v>263</v>
      </c>
      <c r="F5" s="1" t="s">
        <v>263</v>
      </c>
      <c r="H5" s="13" t="s">
        <v>268</v>
      </c>
      <c r="I5" s="16">
        <f>STDEV(C3:C253)</f>
        <v>1.4715317808298697E-2</v>
      </c>
    </row>
    <row r="6" spans="1:10" x14ac:dyDescent="0.3">
      <c r="A6" s="2">
        <f>Table1[[#This Row],[Date]]</f>
        <v>45777</v>
      </c>
      <c r="B6" s="8">
        <f>Table1[[#This Row],[Price]]</f>
        <v>212.5</v>
      </c>
      <c r="C6" s="4">
        <f t="shared" si="0"/>
        <v>6.1076653567539033E-3</v>
      </c>
      <c r="D6" s="10" t="s">
        <v>263</v>
      </c>
      <c r="E6" s="1" t="s">
        <v>263</v>
      </c>
      <c r="F6" s="1" t="s">
        <v>263</v>
      </c>
      <c r="H6" s="12"/>
    </row>
    <row r="7" spans="1:10" ht="15.6" x14ac:dyDescent="0.3">
      <c r="A7" s="2">
        <f>Table1[[#This Row],[Date]]</f>
        <v>45778</v>
      </c>
      <c r="B7" s="8">
        <f>Table1[[#This Row],[Price]]</f>
        <v>213.32</v>
      </c>
      <c r="C7" s="4">
        <f t="shared" si="0"/>
        <v>3.8588235294117327E-3</v>
      </c>
      <c r="D7" s="10" t="s">
        <v>263</v>
      </c>
      <c r="E7" s="1" t="s">
        <v>263</v>
      </c>
      <c r="F7" s="1" t="s">
        <v>263</v>
      </c>
      <c r="H7" s="17" t="s">
        <v>269</v>
      </c>
      <c r="I7" s="17"/>
      <c r="J7" s="17"/>
    </row>
    <row r="8" spans="1:10" x14ac:dyDescent="0.3">
      <c r="A8" s="2">
        <f>Table1[[#This Row],[Date]]</f>
        <v>45779</v>
      </c>
      <c r="B8" s="8">
        <f>Table1[[#This Row],[Price]]</f>
        <v>205.35</v>
      </c>
      <c r="C8" s="4">
        <f t="shared" si="0"/>
        <v>-3.7361710106881676E-2</v>
      </c>
      <c r="D8" s="10" t="s">
        <v>263</v>
      </c>
      <c r="E8" s="1" t="s">
        <v>263</v>
      </c>
      <c r="F8" s="1" t="s">
        <v>263</v>
      </c>
    </row>
    <row r="9" spans="1:10" x14ac:dyDescent="0.3">
      <c r="A9" s="2">
        <f>Table1[[#This Row],[Date]]</f>
        <v>45782</v>
      </c>
      <c r="B9" s="8">
        <f>Table1[[#This Row],[Price]]</f>
        <v>198.89</v>
      </c>
      <c r="C9" s="4">
        <f t="shared" si="0"/>
        <v>-3.1458485512539609E-2</v>
      </c>
      <c r="D9" s="10" t="s">
        <v>263</v>
      </c>
      <c r="E9" s="1" t="s">
        <v>263</v>
      </c>
      <c r="F9" s="1" t="s">
        <v>263</v>
      </c>
    </row>
    <row r="10" spans="1:10" x14ac:dyDescent="0.3">
      <c r="A10" s="2">
        <f>Table1[[#This Row],[Date]]</f>
        <v>45783</v>
      </c>
      <c r="B10" s="8">
        <f>Table1[[#This Row],[Price]]</f>
        <v>198.51</v>
      </c>
      <c r="C10" s="4">
        <f t="shared" si="0"/>
        <v>-1.9106038513751092E-3</v>
      </c>
      <c r="D10" s="10" t="s">
        <v>263</v>
      </c>
      <c r="E10" s="1" t="s">
        <v>263</v>
      </c>
      <c r="F10" s="1" t="s">
        <v>263</v>
      </c>
    </row>
    <row r="11" spans="1:10" x14ac:dyDescent="0.3">
      <c r="A11" s="2">
        <f>Table1[[#This Row],[Date]]</f>
        <v>45784</v>
      </c>
      <c r="B11" s="8">
        <f>Table1[[#This Row],[Price]]</f>
        <v>196.25</v>
      </c>
      <c r="C11" s="4">
        <f t="shared" si="0"/>
        <v>-1.1384816885799159E-2</v>
      </c>
      <c r="D11" s="8">
        <f>AVERAGE(B2:B11)</f>
        <v>206.38199999999998</v>
      </c>
      <c r="E11" s="1" t="s">
        <v>263</v>
      </c>
      <c r="F11" s="1" t="s">
        <v>263</v>
      </c>
    </row>
    <row r="12" spans="1:10" x14ac:dyDescent="0.3">
      <c r="A12" s="2">
        <f>Table1[[#This Row],[Date]]</f>
        <v>45785</v>
      </c>
      <c r="B12" s="8">
        <f>Table1[[#This Row],[Price]]</f>
        <v>197.49</v>
      </c>
      <c r="C12" s="4">
        <f t="shared" si="0"/>
        <v>6.3184713375796639E-3</v>
      </c>
      <c r="D12" s="8">
        <f t="shared" ref="D12:D75" si="1">AVERAGE(B3:B12)</f>
        <v>205.29400000000001</v>
      </c>
      <c r="E12" s="1" t="s">
        <v>263</v>
      </c>
      <c r="F12" s="1" t="s">
        <v>263</v>
      </c>
    </row>
    <row r="13" spans="1:10" x14ac:dyDescent="0.3">
      <c r="A13" s="2">
        <f>Table1[[#This Row],[Date]]</f>
        <v>45786</v>
      </c>
      <c r="B13" s="8">
        <f>Table1[[#This Row],[Price]]</f>
        <v>198.53</v>
      </c>
      <c r="C13" s="4">
        <f t="shared" si="0"/>
        <v>5.2660894222491868E-3</v>
      </c>
      <c r="D13" s="8">
        <f t="shared" si="1"/>
        <v>204.21899999999999</v>
      </c>
      <c r="E13" s="1" t="s">
        <v>263</v>
      </c>
      <c r="F13" s="1" t="s">
        <v>263</v>
      </c>
    </row>
    <row r="14" spans="1:10" x14ac:dyDescent="0.3">
      <c r="A14" s="2">
        <f>Table1[[#This Row],[Date]]</f>
        <v>45789</v>
      </c>
      <c r="B14" s="8">
        <f>Table1[[#This Row],[Price]]</f>
        <v>210.79</v>
      </c>
      <c r="C14" s="4">
        <f t="shared" si="0"/>
        <v>6.1753891099581883E-2</v>
      </c>
      <c r="D14" s="8">
        <f t="shared" si="1"/>
        <v>204.28399999999999</v>
      </c>
      <c r="E14" s="1" t="s">
        <v>263</v>
      </c>
      <c r="F14" s="1" t="s">
        <v>263</v>
      </c>
    </row>
    <row r="15" spans="1:10" x14ac:dyDescent="0.3">
      <c r="A15" s="2">
        <f>Table1[[#This Row],[Date]]</f>
        <v>45790</v>
      </c>
      <c r="B15" s="8">
        <f>Table1[[#This Row],[Price]]</f>
        <v>212.93</v>
      </c>
      <c r="C15" s="4">
        <f t="shared" si="0"/>
        <v>1.0152284263959461E-2</v>
      </c>
      <c r="D15" s="8">
        <f t="shared" si="1"/>
        <v>204.45599999999999</v>
      </c>
      <c r="E15" s="1" t="s">
        <v>263</v>
      </c>
      <c r="F15" s="1" t="s">
        <v>263</v>
      </c>
    </row>
    <row r="16" spans="1:10" x14ac:dyDescent="0.3">
      <c r="A16" s="2">
        <f>Table1[[#This Row],[Date]]</f>
        <v>45791</v>
      </c>
      <c r="B16" s="8">
        <f>Table1[[#This Row],[Price]]</f>
        <v>212.33</v>
      </c>
      <c r="C16" s="4">
        <f t="shared" si="0"/>
        <v>-2.8178274550321432E-3</v>
      </c>
      <c r="D16" s="8">
        <f t="shared" si="1"/>
        <v>204.43899999999999</v>
      </c>
      <c r="E16" s="1" t="s">
        <v>263</v>
      </c>
      <c r="F16" s="1" t="s">
        <v>263</v>
      </c>
      <c r="G16" s="7"/>
      <c r="H16" s="7"/>
    </row>
    <row r="17" spans="1:12" x14ac:dyDescent="0.3">
      <c r="A17" s="2">
        <f>Table1[[#This Row],[Date]]</f>
        <v>45792</v>
      </c>
      <c r="B17" s="8">
        <f>Table1[[#This Row],[Price]]</f>
        <v>211.45</v>
      </c>
      <c r="C17" s="4">
        <f t="shared" si="0"/>
        <v>-4.144492064239739E-3</v>
      </c>
      <c r="D17" s="8">
        <f t="shared" si="1"/>
        <v>204.25200000000001</v>
      </c>
      <c r="E17" s="1" t="s">
        <v>263</v>
      </c>
      <c r="F17" s="1" t="s">
        <v>263</v>
      </c>
      <c r="G17" s="7"/>
      <c r="H17" s="6"/>
    </row>
    <row r="18" spans="1:12" x14ac:dyDescent="0.3">
      <c r="A18" s="2">
        <f>Table1[[#This Row],[Date]]</f>
        <v>45793</v>
      </c>
      <c r="B18" s="8">
        <f>Table1[[#This Row],[Price]]</f>
        <v>211.26</v>
      </c>
      <c r="C18" s="4">
        <f t="shared" si="0"/>
        <v>-8.9855757862377739E-4</v>
      </c>
      <c r="D18" s="8">
        <f t="shared" si="1"/>
        <v>204.84300000000002</v>
      </c>
      <c r="E18" s="1" t="s">
        <v>263</v>
      </c>
      <c r="F18" s="1" t="s">
        <v>263</v>
      </c>
    </row>
    <row r="19" spans="1:12" x14ac:dyDescent="0.3">
      <c r="A19" s="2">
        <f>Table1[[#This Row],[Date]]</f>
        <v>45796</v>
      </c>
      <c r="B19" s="8">
        <f>Table1[[#This Row],[Price]]</f>
        <v>208.78</v>
      </c>
      <c r="C19" s="4">
        <f t="shared" si="0"/>
        <v>-1.1739089273880478E-2</v>
      </c>
      <c r="D19" s="8">
        <f t="shared" si="1"/>
        <v>205.83200000000002</v>
      </c>
      <c r="E19" s="1" t="s">
        <v>263</v>
      </c>
      <c r="F19" s="1" t="s">
        <v>263</v>
      </c>
    </row>
    <row r="20" spans="1:12" x14ac:dyDescent="0.3">
      <c r="A20" s="2">
        <f>Table1[[#This Row],[Date]]</f>
        <v>45797</v>
      </c>
      <c r="B20" s="8">
        <f>Table1[[#This Row],[Price]]</f>
        <v>206.86</v>
      </c>
      <c r="C20" s="4">
        <f t="shared" si="0"/>
        <v>-9.1962831688858493E-3</v>
      </c>
      <c r="D20" s="8">
        <f t="shared" si="1"/>
        <v>206.667</v>
      </c>
      <c r="E20" s="1" t="s">
        <v>263</v>
      </c>
      <c r="F20" s="1" t="s">
        <v>263</v>
      </c>
    </row>
    <row r="21" spans="1:12" x14ac:dyDescent="0.3">
      <c r="A21" s="2">
        <f>Table1[[#This Row],[Date]]</f>
        <v>45798</v>
      </c>
      <c r="B21" s="8">
        <f>Table1[[#This Row],[Price]]</f>
        <v>202.09</v>
      </c>
      <c r="C21" s="4">
        <f t="shared" si="0"/>
        <v>-2.3059073769699363E-2</v>
      </c>
      <c r="D21" s="8">
        <f t="shared" si="1"/>
        <v>207.25100000000003</v>
      </c>
      <c r="E21" s="8">
        <f>AVERAGE(B2:B21)</f>
        <v>206.81649999999999</v>
      </c>
      <c r="F21" s="1" t="s">
        <v>263</v>
      </c>
    </row>
    <row r="22" spans="1:12" x14ac:dyDescent="0.3">
      <c r="A22" s="2">
        <f>Table1[[#This Row],[Date]]</f>
        <v>45799</v>
      </c>
      <c r="B22" s="8">
        <f>Table1[[#This Row],[Price]]</f>
        <v>201.36</v>
      </c>
      <c r="C22" s="4">
        <f t="shared" si="0"/>
        <v>-3.6122519669453696E-3</v>
      </c>
      <c r="D22" s="8">
        <f t="shared" si="1"/>
        <v>207.63799999999998</v>
      </c>
      <c r="E22" s="8">
        <f t="shared" ref="E22:E85" si="2">AVERAGE(B3:B22)</f>
        <v>206.46599999999998</v>
      </c>
      <c r="F22" s="1" t="s">
        <v>263</v>
      </c>
    </row>
    <row r="23" spans="1:12" x14ac:dyDescent="0.3">
      <c r="A23" s="2">
        <f>Table1[[#This Row],[Date]]</f>
        <v>45800</v>
      </c>
      <c r="B23" s="8">
        <f>Table1[[#This Row],[Price]]</f>
        <v>195.27</v>
      </c>
      <c r="C23" s="4">
        <f t="shared" si="0"/>
        <v>-3.0244338498212172E-2</v>
      </c>
      <c r="D23" s="8">
        <f t="shared" si="1"/>
        <v>207.31199999999998</v>
      </c>
      <c r="E23" s="8">
        <f t="shared" si="2"/>
        <v>205.76550000000003</v>
      </c>
      <c r="F23" s="1" t="s">
        <v>263</v>
      </c>
    </row>
    <row r="24" spans="1:12" x14ac:dyDescent="0.3">
      <c r="A24" s="2">
        <f>Table1[[#This Row],[Date]]</f>
        <v>45804</v>
      </c>
      <c r="B24" s="8">
        <f>Table1[[#This Row],[Price]]</f>
        <v>200.21</v>
      </c>
      <c r="C24" s="4">
        <f t="shared" si="0"/>
        <v>2.5298304911148654E-2</v>
      </c>
      <c r="D24" s="8">
        <f t="shared" si="1"/>
        <v>206.25399999999999</v>
      </c>
      <c r="E24" s="8">
        <f t="shared" si="2"/>
        <v>205.26900000000001</v>
      </c>
      <c r="F24" s="1" t="s">
        <v>263</v>
      </c>
    </row>
    <row r="25" spans="1:12" x14ac:dyDescent="0.3">
      <c r="A25" s="2">
        <f>Table1[[#This Row],[Date]]</f>
        <v>45805</v>
      </c>
      <c r="B25" s="8">
        <f>Table1[[#This Row],[Price]]</f>
        <v>200.42</v>
      </c>
      <c r="C25" s="4">
        <f t="shared" si="0"/>
        <v>1.0488986564106664E-3</v>
      </c>
      <c r="D25" s="8">
        <f t="shared" si="1"/>
        <v>205.00299999999999</v>
      </c>
      <c r="E25" s="8">
        <f t="shared" si="2"/>
        <v>204.7295</v>
      </c>
      <c r="F25" s="1" t="s">
        <v>263</v>
      </c>
    </row>
    <row r="26" spans="1:12" x14ac:dyDescent="0.3">
      <c r="A26" s="2">
        <f>Table1[[#This Row],[Date]]</f>
        <v>45806</v>
      </c>
      <c r="B26" s="8">
        <f>Table1[[#This Row],[Price]]</f>
        <v>199.95</v>
      </c>
      <c r="C26" s="4">
        <f t="shared" si="0"/>
        <v>-2.3450753417822517E-3</v>
      </c>
      <c r="D26" s="8">
        <f t="shared" si="1"/>
        <v>203.76500000000004</v>
      </c>
      <c r="E26" s="8">
        <f t="shared" si="2"/>
        <v>204.102</v>
      </c>
      <c r="F26" s="1" t="s">
        <v>263</v>
      </c>
    </row>
    <row r="27" spans="1:12" x14ac:dyDescent="0.3">
      <c r="A27" s="2">
        <f>Table1[[#This Row],[Date]]</f>
        <v>45807</v>
      </c>
      <c r="B27" s="8">
        <f>Table1[[#This Row],[Price]]</f>
        <v>200.85</v>
      </c>
      <c r="C27" s="4">
        <f t="shared" si="0"/>
        <v>4.5011252813203584E-3</v>
      </c>
      <c r="D27" s="8">
        <f t="shared" si="1"/>
        <v>202.70499999999998</v>
      </c>
      <c r="E27" s="8">
        <f t="shared" si="2"/>
        <v>203.4785</v>
      </c>
      <c r="F27" s="1" t="s">
        <v>263</v>
      </c>
    </row>
    <row r="28" spans="1:12" ht="15.6" x14ac:dyDescent="0.3">
      <c r="A28" s="2">
        <f>Table1[[#This Row],[Date]]</f>
        <v>45810</v>
      </c>
      <c r="B28" s="8">
        <f>Table1[[#This Row],[Price]]</f>
        <v>201.7</v>
      </c>
      <c r="C28" s="4">
        <f t="shared" si="0"/>
        <v>4.2320139407517766E-3</v>
      </c>
      <c r="D28" s="8">
        <f t="shared" si="1"/>
        <v>201.749</v>
      </c>
      <c r="E28" s="8">
        <f t="shared" si="2"/>
        <v>203.29600000000002</v>
      </c>
      <c r="F28" s="1" t="s">
        <v>263</v>
      </c>
      <c r="H28" s="18" t="s">
        <v>253</v>
      </c>
      <c r="I28" s="18"/>
      <c r="J28" s="18"/>
      <c r="K28" s="19"/>
      <c r="L28" s="19"/>
    </row>
    <row r="29" spans="1:12" ht="15.6" x14ac:dyDescent="0.3">
      <c r="A29" s="2">
        <f>Table1[[#This Row],[Date]]</f>
        <v>45811</v>
      </c>
      <c r="B29" s="8">
        <f>Table1[[#This Row],[Price]]</f>
        <v>203.27</v>
      </c>
      <c r="C29" s="4">
        <f t="shared" si="0"/>
        <v>7.7838373822509748E-3</v>
      </c>
      <c r="D29" s="8">
        <f t="shared" si="1"/>
        <v>201.19800000000001</v>
      </c>
      <c r="E29" s="8">
        <f t="shared" si="2"/>
        <v>203.51500000000001</v>
      </c>
      <c r="F29" s="1" t="s">
        <v>263</v>
      </c>
      <c r="H29" s="20" t="s">
        <v>254</v>
      </c>
      <c r="I29" s="20"/>
      <c r="J29" s="20"/>
      <c r="K29" s="19"/>
      <c r="L29" s="19"/>
    </row>
    <row r="30" spans="1:12" ht="15.6" x14ac:dyDescent="0.3">
      <c r="A30" s="2">
        <f>Table1[[#This Row],[Date]]</f>
        <v>45812</v>
      </c>
      <c r="B30" s="8">
        <f>Table1[[#This Row],[Price]]</f>
        <v>202.82</v>
      </c>
      <c r="C30" s="4">
        <f t="shared" si="0"/>
        <v>-2.2138042996999903E-3</v>
      </c>
      <c r="D30" s="8">
        <f t="shared" si="1"/>
        <v>200.79399999999998</v>
      </c>
      <c r="E30" s="8">
        <f t="shared" si="2"/>
        <v>203.73050000000001</v>
      </c>
      <c r="F30" s="1" t="s">
        <v>263</v>
      </c>
      <c r="H30" s="20"/>
      <c r="I30" s="20"/>
      <c r="J30" s="20"/>
      <c r="K30" s="19"/>
      <c r="L30" s="19"/>
    </row>
    <row r="31" spans="1:12" ht="15.6" x14ac:dyDescent="0.3">
      <c r="A31" s="2">
        <f>Table1[[#This Row],[Date]]</f>
        <v>45813</v>
      </c>
      <c r="B31" s="8">
        <f>Table1[[#This Row],[Price]]</f>
        <v>200.63</v>
      </c>
      <c r="C31" s="4">
        <f t="shared" si="0"/>
        <v>-1.0797751701015669E-2</v>
      </c>
      <c r="D31" s="8">
        <f t="shared" si="1"/>
        <v>200.648</v>
      </c>
      <c r="E31" s="8">
        <f t="shared" si="2"/>
        <v>203.9495</v>
      </c>
      <c r="F31" s="1" t="s">
        <v>263</v>
      </c>
      <c r="H31" s="20" t="s">
        <v>255</v>
      </c>
      <c r="I31" s="20"/>
      <c r="J31" s="20"/>
      <c r="K31" s="19"/>
      <c r="L31" s="19"/>
    </row>
    <row r="32" spans="1:12" ht="15.6" x14ac:dyDescent="0.3">
      <c r="A32" s="2">
        <f>Table1[[#This Row],[Date]]</f>
        <v>45814</v>
      </c>
      <c r="B32" s="8">
        <f>Table1[[#This Row],[Price]]</f>
        <v>203.92</v>
      </c>
      <c r="C32" s="4">
        <f t="shared" si="0"/>
        <v>1.6398345212580333E-2</v>
      </c>
      <c r="D32" s="8">
        <f t="shared" si="1"/>
        <v>200.904</v>
      </c>
      <c r="E32" s="8">
        <f t="shared" si="2"/>
        <v>204.27099999999999</v>
      </c>
      <c r="F32" s="1" t="s">
        <v>263</v>
      </c>
      <c r="H32" s="20"/>
      <c r="I32" s="20"/>
      <c r="J32" s="20"/>
      <c r="K32" s="19"/>
      <c r="L32" s="19"/>
    </row>
    <row r="33" spans="1:12" ht="15.6" x14ac:dyDescent="0.3">
      <c r="A33" s="2">
        <f>Table1[[#This Row],[Date]]</f>
        <v>45817</v>
      </c>
      <c r="B33" s="8">
        <f>Table1[[#This Row],[Price]]</f>
        <v>201.45</v>
      </c>
      <c r="C33" s="4">
        <f t="shared" si="0"/>
        <v>-1.2112593173793641E-2</v>
      </c>
      <c r="D33" s="8">
        <f t="shared" si="1"/>
        <v>201.52199999999999</v>
      </c>
      <c r="E33" s="8">
        <f t="shared" si="2"/>
        <v>204.41699999999997</v>
      </c>
      <c r="F33" s="1" t="s">
        <v>263</v>
      </c>
      <c r="H33" s="22"/>
      <c r="J33" s="19"/>
      <c r="K33" s="19"/>
      <c r="L33" s="19"/>
    </row>
    <row r="34" spans="1:12" x14ac:dyDescent="0.3">
      <c r="A34" s="2">
        <f>Table1[[#This Row],[Date]]</f>
        <v>45818</v>
      </c>
      <c r="B34" s="8">
        <f>Table1[[#This Row],[Price]]</f>
        <v>202.67</v>
      </c>
      <c r="C34" s="4">
        <f t="shared" si="0"/>
        <v>6.0560933234053062E-3</v>
      </c>
      <c r="D34" s="8">
        <f t="shared" si="1"/>
        <v>201.768</v>
      </c>
      <c r="E34" s="8">
        <f t="shared" si="2"/>
        <v>204.011</v>
      </c>
      <c r="F34" s="1" t="s">
        <v>263</v>
      </c>
    </row>
    <row r="35" spans="1:12" ht="15.6" x14ac:dyDescent="0.3">
      <c r="A35" s="2">
        <f>Table1[[#This Row],[Date]]</f>
        <v>45819</v>
      </c>
      <c r="B35" s="8">
        <f>Table1[[#This Row],[Price]]</f>
        <v>198.78</v>
      </c>
      <c r="C35" s="4">
        <f t="shared" si="0"/>
        <v>-1.9193763260472622E-2</v>
      </c>
      <c r="D35" s="8">
        <f t="shared" si="1"/>
        <v>201.60399999999998</v>
      </c>
      <c r="E35" s="8">
        <f t="shared" si="2"/>
        <v>203.30349999999999</v>
      </c>
      <c r="F35" s="1" t="s">
        <v>263</v>
      </c>
      <c r="H35" s="18" t="s">
        <v>256</v>
      </c>
      <c r="I35" s="18"/>
      <c r="J35" s="18"/>
      <c r="K35" s="18"/>
      <c r="L35" s="18"/>
    </row>
    <row r="36" spans="1:12" ht="15.6" x14ac:dyDescent="0.3">
      <c r="A36" s="2">
        <f>Table1[[#This Row],[Date]]</f>
        <v>45820</v>
      </c>
      <c r="B36" s="8">
        <f>Table1[[#This Row],[Price]]</f>
        <v>199.2</v>
      </c>
      <c r="C36" s="4">
        <f t="shared" si="0"/>
        <v>2.112888620585509E-3</v>
      </c>
      <c r="D36" s="8">
        <f t="shared" si="1"/>
        <v>201.529</v>
      </c>
      <c r="E36" s="8">
        <f t="shared" si="2"/>
        <v>202.64700000000002</v>
      </c>
      <c r="F36" s="1" t="s">
        <v>263</v>
      </c>
      <c r="H36" s="21" t="s">
        <v>257</v>
      </c>
      <c r="I36" s="21"/>
      <c r="J36" s="21"/>
      <c r="K36" s="21"/>
      <c r="L36" s="21"/>
    </row>
    <row r="37" spans="1:12" ht="15.6" x14ac:dyDescent="0.3">
      <c r="A37" s="2">
        <f>Table1[[#This Row],[Date]]</f>
        <v>45821</v>
      </c>
      <c r="B37" s="8">
        <f>Table1[[#This Row],[Price]]</f>
        <v>196.45</v>
      </c>
      <c r="C37" s="4">
        <f t="shared" si="0"/>
        <v>-1.3805220883534136E-2</v>
      </c>
      <c r="D37" s="8">
        <f t="shared" si="1"/>
        <v>201.089</v>
      </c>
      <c r="E37" s="8">
        <f t="shared" si="2"/>
        <v>201.89699999999999</v>
      </c>
      <c r="F37" s="1" t="s">
        <v>263</v>
      </c>
      <c r="H37" s="21" t="s">
        <v>259</v>
      </c>
      <c r="I37" s="21"/>
      <c r="J37" s="21"/>
      <c r="K37" s="21"/>
      <c r="L37" s="21"/>
    </row>
    <row r="38" spans="1:12" ht="15.6" x14ac:dyDescent="0.3">
      <c r="A38" s="2">
        <f>Table1[[#This Row],[Date]]</f>
        <v>45824</v>
      </c>
      <c r="B38" s="8">
        <f>Table1[[#This Row],[Price]]</f>
        <v>198.42</v>
      </c>
      <c r="C38" s="4">
        <f t="shared" si="0"/>
        <v>1.0027996945787727E-2</v>
      </c>
      <c r="D38" s="8">
        <f t="shared" si="1"/>
        <v>200.76100000000002</v>
      </c>
      <c r="E38" s="8">
        <f t="shared" si="2"/>
        <v>201.25500000000002</v>
      </c>
      <c r="F38" s="1" t="s">
        <v>263</v>
      </c>
      <c r="H38" s="21" t="s">
        <v>258</v>
      </c>
      <c r="I38" s="21"/>
      <c r="J38" s="21"/>
      <c r="K38" s="21"/>
      <c r="L38" s="21"/>
    </row>
    <row r="39" spans="1:12" ht="15.6" x14ac:dyDescent="0.3">
      <c r="A39" s="2">
        <f>Table1[[#This Row],[Date]]</f>
        <v>45825</v>
      </c>
      <c r="B39" s="8">
        <f>Table1[[#This Row],[Price]]</f>
        <v>195.64</v>
      </c>
      <c r="C39" s="4">
        <f t="shared" si="0"/>
        <v>-1.4010684406813835E-2</v>
      </c>
      <c r="D39" s="8">
        <f t="shared" si="1"/>
        <v>199.99799999999999</v>
      </c>
      <c r="E39" s="8">
        <f t="shared" si="2"/>
        <v>200.59800000000001</v>
      </c>
      <c r="F39" s="1" t="s">
        <v>263</v>
      </c>
      <c r="H39" s="21" t="s">
        <v>264</v>
      </c>
      <c r="I39" s="21"/>
      <c r="J39" s="21"/>
      <c r="K39" s="21"/>
      <c r="L39" s="21"/>
    </row>
    <row r="40" spans="1:12" x14ac:dyDescent="0.3">
      <c r="A40" s="2">
        <f>Table1[[#This Row],[Date]]</f>
        <v>45826</v>
      </c>
      <c r="B40" s="8">
        <f>Table1[[#This Row],[Price]]</f>
        <v>196.58</v>
      </c>
      <c r="C40" s="4">
        <f t="shared" si="0"/>
        <v>4.8047434062565234E-3</v>
      </c>
      <c r="D40" s="8">
        <f t="shared" si="1"/>
        <v>199.37399999999997</v>
      </c>
      <c r="E40" s="8">
        <f t="shared" si="2"/>
        <v>200.08399999999997</v>
      </c>
      <c r="F40" s="1" t="s">
        <v>263</v>
      </c>
    </row>
    <row r="41" spans="1:12" x14ac:dyDescent="0.3">
      <c r="A41" s="2">
        <f>Table1[[#This Row],[Date]]</f>
        <v>45828</v>
      </c>
      <c r="B41" s="8">
        <f>Table1[[#This Row],[Price]]</f>
        <v>201</v>
      </c>
      <c r="C41" s="4">
        <f t="shared" si="0"/>
        <v>2.2484484688167602E-2</v>
      </c>
      <c r="D41" s="8">
        <f t="shared" si="1"/>
        <v>199.411</v>
      </c>
      <c r="E41" s="8">
        <f t="shared" si="2"/>
        <v>200.02949999999998</v>
      </c>
      <c r="F41" s="1" t="s">
        <v>263</v>
      </c>
    </row>
    <row r="42" spans="1:12" x14ac:dyDescent="0.3">
      <c r="A42" s="2">
        <f>Table1[[#This Row],[Date]]</f>
        <v>45831</v>
      </c>
      <c r="B42" s="8">
        <f>Table1[[#This Row],[Price]]</f>
        <v>201.5</v>
      </c>
      <c r="C42" s="4">
        <f t="shared" si="0"/>
        <v>2.4875621890547263E-3</v>
      </c>
      <c r="D42" s="8">
        <f t="shared" si="1"/>
        <v>199.16900000000001</v>
      </c>
      <c r="E42" s="8">
        <f t="shared" si="2"/>
        <v>200.03649999999999</v>
      </c>
      <c r="F42" s="1" t="s">
        <v>263</v>
      </c>
    </row>
    <row r="43" spans="1:12" x14ac:dyDescent="0.3">
      <c r="A43" s="2">
        <f>Table1[[#This Row],[Date]]</f>
        <v>45832</v>
      </c>
      <c r="B43" s="8">
        <f>Table1[[#This Row],[Price]]</f>
        <v>200.3</v>
      </c>
      <c r="C43" s="4">
        <f t="shared" si="0"/>
        <v>-5.9553349875929957E-3</v>
      </c>
      <c r="D43" s="8">
        <f t="shared" si="1"/>
        <v>199.05399999999997</v>
      </c>
      <c r="E43" s="8">
        <f t="shared" si="2"/>
        <v>200.28799999999998</v>
      </c>
      <c r="F43" s="1" t="s">
        <v>263</v>
      </c>
    </row>
    <row r="44" spans="1:12" x14ac:dyDescent="0.3">
      <c r="A44" s="2">
        <f>Table1[[#This Row],[Date]]</f>
        <v>45833</v>
      </c>
      <c r="B44" s="8">
        <f>Table1[[#This Row],[Price]]</f>
        <v>201.56</v>
      </c>
      <c r="C44" s="4">
        <f t="shared" si="0"/>
        <v>6.2905641537693005E-3</v>
      </c>
      <c r="D44" s="8">
        <f t="shared" si="1"/>
        <v>198.94299999999998</v>
      </c>
      <c r="E44" s="8">
        <f t="shared" si="2"/>
        <v>200.35549999999998</v>
      </c>
      <c r="F44" s="1" t="s">
        <v>263</v>
      </c>
    </row>
    <row r="45" spans="1:12" x14ac:dyDescent="0.3">
      <c r="A45" s="2">
        <f>Table1[[#This Row],[Date]]</f>
        <v>45834</v>
      </c>
      <c r="B45" s="8">
        <f>Table1[[#This Row],[Price]]</f>
        <v>201</v>
      </c>
      <c r="C45" s="4">
        <f t="shared" si="0"/>
        <v>-2.7783290335384116E-3</v>
      </c>
      <c r="D45" s="8">
        <f t="shared" si="1"/>
        <v>199.16499999999999</v>
      </c>
      <c r="E45" s="8">
        <f t="shared" si="2"/>
        <v>200.38449999999997</v>
      </c>
      <c r="F45" s="1" t="s">
        <v>263</v>
      </c>
    </row>
    <row r="46" spans="1:12" x14ac:dyDescent="0.3">
      <c r="A46" s="2">
        <f>Table1[[#This Row],[Date]]</f>
        <v>45835</v>
      </c>
      <c r="B46" s="8">
        <f>Table1[[#This Row],[Price]]</f>
        <v>201.08</v>
      </c>
      <c r="C46" s="4">
        <f t="shared" si="0"/>
        <v>3.9800995024881844E-4</v>
      </c>
      <c r="D46" s="8">
        <f t="shared" si="1"/>
        <v>199.35300000000001</v>
      </c>
      <c r="E46" s="8">
        <f t="shared" si="2"/>
        <v>200.44099999999997</v>
      </c>
      <c r="F46" s="1" t="s">
        <v>263</v>
      </c>
    </row>
    <row r="47" spans="1:12" x14ac:dyDescent="0.3">
      <c r="A47" s="2">
        <f>Table1[[#This Row],[Date]]</f>
        <v>45838</v>
      </c>
      <c r="B47" s="8">
        <f>Table1[[#This Row],[Price]]</f>
        <v>205.17</v>
      </c>
      <c r="C47" s="4">
        <f t="shared" si="0"/>
        <v>2.0340163119156429E-2</v>
      </c>
      <c r="D47" s="8">
        <f t="shared" si="1"/>
        <v>200.22499999999999</v>
      </c>
      <c r="E47" s="8">
        <f t="shared" si="2"/>
        <v>200.65699999999998</v>
      </c>
      <c r="F47" s="1" t="s">
        <v>263</v>
      </c>
    </row>
    <row r="48" spans="1:12" x14ac:dyDescent="0.3">
      <c r="A48" s="2">
        <f>Table1[[#This Row],[Date]]</f>
        <v>45839</v>
      </c>
      <c r="B48" s="8">
        <f>Table1[[#This Row],[Price]]</f>
        <v>207.82</v>
      </c>
      <c r="C48" s="4">
        <f t="shared" si="0"/>
        <v>1.2916118340888072E-2</v>
      </c>
      <c r="D48" s="8">
        <f t="shared" si="1"/>
        <v>201.16499999999999</v>
      </c>
      <c r="E48" s="8">
        <f t="shared" si="2"/>
        <v>200.96300000000002</v>
      </c>
      <c r="F48" s="1" t="s">
        <v>263</v>
      </c>
    </row>
    <row r="49" spans="1:6" x14ac:dyDescent="0.3">
      <c r="A49" s="2">
        <f>Table1[[#This Row],[Date]]</f>
        <v>45840</v>
      </c>
      <c r="B49" s="8">
        <f>Table1[[#This Row],[Price]]</f>
        <v>212.44</v>
      </c>
      <c r="C49" s="4">
        <f t="shared" si="0"/>
        <v>2.2230776633625274E-2</v>
      </c>
      <c r="D49" s="8">
        <f t="shared" si="1"/>
        <v>202.845</v>
      </c>
      <c r="E49" s="8">
        <f t="shared" si="2"/>
        <v>201.42150000000001</v>
      </c>
      <c r="F49" s="1" t="s">
        <v>263</v>
      </c>
    </row>
    <row r="50" spans="1:6" x14ac:dyDescent="0.3">
      <c r="A50" s="2">
        <f>Table1[[#This Row],[Date]]</f>
        <v>45841</v>
      </c>
      <c r="B50" s="8">
        <f>Table1[[#This Row],[Price]]</f>
        <v>213.55</v>
      </c>
      <c r="C50" s="4">
        <f t="shared" si="0"/>
        <v>5.2250047072115125E-3</v>
      </c>
      <c r="D50" s="8">
        <f t="shared" si="1"/>
        <v>204.54199999999997</v>
      </c>
      <c r="E50" s="8">
        <f t="shared" si="2"/>
        <v>201.95800000000003</v>
      </c>
      <c r="F50" s="1" t="s">
        <v>263</v>
      </c>
    </row>
    <row r="51" spans="1:6" x14ac:dyDescent="0.3">
      <c r="A51" s="2">
        <f>Table1[[#This Row],[Date]]</f>
        <v>45845</v>
      </c>
      <c r="B51" s="8">
        <f>Table1[[#This Row],[Price]]</f>
        <v>209.95</v>
      </c>
      <c r="C51" s="4">
        <f t="shared" si="0"/>
        <v>-1.6857878716928225E-2</v>
      </c>
      <c r="D51" s="8">
        <f t="shared" si="1"/>
        <v>205.43699999999998</v>
      </c>
      <c r="E51" s="8">
        <f t="shared" si="2"/>
        <v>202.42400000000004</v>
      </c>
      <c r="F51" s="8">
        <f>AVERAGE(B2:B51)</f>
        <v>203.82579999999999</v>
      </c>
    </row>
    <row r="52" spans="1:6" x14ac:dyDescent="0.3">
      <c r="A52" s="2">
        <f>Table1[[#This Row],[Date]]</f>
        <v>45846</v>
      </c>
      <c r="B52" s="8">
        <f>Table1[[#This Row],[Price]]</f>
        <v>210.01</v>
      </c>
      <c r="C52" s="4">
        <f t="shared" si="0"/>
        <v>2.8578232912599322E-4</v>
      </c>
      <c r="D52" s="8">
        <f t="shared" si="1"/>
        <v>206.28800000000001</v>
      </c>
      <c r="E52" s="8">
        <f t="shared" si="2"/>
        <v>202.72850000000003</v>
      </c>
      <c r="F52" s="8">
        <f t="shared" ref="F52:F115" si="3">AVERAGE(B3:B52)</f>
        <v>203.8586</v>
      </c>
    </row>
    <row r="53" spans="1:6" x14ac:dyDescent="0.3">
      <c r="A53" s="2">
        <f>Table1[[#This Row],[Date]]</f>
        <v>45847</v>
      </c>
      <c r="B53" s="8">
        <f>Table1[[#This Row],[Price]]</f>
        <v>211.14</v>
      </c>
      <c r="C53" s="4">
        <f t="shared" si="0"/>
        <v>5.3806961573258198E-3</v>
      </c>
      <c r="D53" s="8">
        <f t="shared" si="1"/>
        <v>207.37199999999999</v>
      </c>
      <c r="E53" s="8">
        <f t="shared" si="2"/>
        <v>203.21299999999999</v>
      </c>
      <c r="F53" s="8">
        <f t="shared" si="3"/>
        <v>203.89580000000001</v>
      </c>
    </row>
    <row r="54" spans="1:6" x14ac:dyDescent="0.3">
      <c r="A54" s="2">
        <f>Table1[[#This Row],[Date]]</f>
        <v>45848</v>
      </c>
      <c r="B54" s="8">
        <f>Table1[[#This Row],[Price]]</f>
        <v>212.41</v>
      </c>
      <c r="C54" s="4">
        <f t="shared" si="0"/>
        <v>6.0149663730226875E-3</v>
      </c>
      <c r="D54" s="8">
        <f t="shared" si="1"/>
        <v>208.45699999999997</v>
      </c>
      <c r="E54" s="8">
        <f t="shared" si="2"/>
        <v>203.7</v>
      </c>
      <c r="F54" s="8">
        <f t="shared" si="3"/>
        <v>203.94120000000004</v>
      </c>
    </row>
    <row r="55" spans="1:6" x14ac:dyDescent="0.3">
      <c r="A55" s="2">
        <f>Table1[[#This Row],[Date]]</f>
        <v>45849</v>
      </c>
      <c r="B55" s="8">
        <f>Table1[[#This Row],[Price]]</f>
        <v>211.16</v>
      </c>
      <c r="C55" s="4">
        <f t="shared" si="0"/>
        <v>-5.8848453462642999E-3</v>
      </c>
      <c r="D55" s="8">
        <f t="shared" si="1"/>
        <v>209.47300000000001</v>
      </c>
      <c r="E55" s="8">
        <f t="shared" si="2"/>
        <v>204.31899999999999</v>
      </c>
      <c r="F55" s="8">
        <f t="shared" si="3"/>
        <v>203.9402</v>
      </c>
    </row>
    <row r="56" spans="1:6" x14ac:dyDescent="0.3">
      <c r="A56" s="2">
        <f>Table1[[#This Row],[Date]]</f>
        <v>45852</v>
      </c>
      <c r="B56" s="8">
        <f>Table1[[#This Row],[Price]]</f>
        <v>208.62</v>
      </c>
      <c r="C56" s="4">
        <f t="shared" si="0"/>
        <v>-1.202879333207043E-2</v>
      </c>
      <c r="D56" s="8">
        <f t="shared" si="1"/>
        <v>210.227</v>
      </c>
      <c r="E56" s="8">
        <f t="shared" si="2"/>
        <v>204.79</v>
      </c>
      <c r="F56" s="8">
        <f t="shared" si="3"/>
        <v>203.86260000000001</v>
      </c>
    </row>
    <row r="57" spans="1:6" x14ac:dyDescent="0.3">
      <c r="A57" s="2">
        <f>Table1[[#This Row],[Date]]</f>
        <v>45853</v>
      </c>
      <c r="B57" s="8">
        <f>Table1[[#This Row],[Price]]</f>
        <v>209.11</v>
      </c>
      <c r="C57" s="4">
        <f t="shared" si="0"/>
        <v>2.3487680951011845E-3</v>
      </c>
      <c r="D57" s="8">
        <f t="shared" si="1"/>
        <v>210.62100000000001</v>
      </c>
      <c r="E57" s="8">
        <f t="shared" si="2"/>
        <v>205.423</v>
      </c>
      <c r="F57" s="8">
        <f t="shared" si="3"/>
        <v>203.77840000000003</v>
      </c>
    </row>
    <row r="58" spans="1:6" x14ac:dyDescent="0.3">
      <c r="A58" s="2">
        <f>Table1[[#This Row],[Date]]</f>
        <v>45854</v>
      </c>
      <c r="B58" s="8">
        <f>Table1[[#This Row],[Price]]</f>
        <v>210.16</v>
      </c>
      <c r="C58" s="4">
        <f t="shared" si="0"/>
        <v>5.0212806656782689E-3</v>
      </c>
      <c r="D58" s="8">
        <f t="shared" si="1"/>
        <v>210.85500000000002</v>
      </c>
      <c r="E58" s="8">
        <f t="shared" si="2"/>
        <v>206.00999999999993</v>
      </c>
      <c r="F58" s="8">
        <f t="shared" si="3"/>
        <v>203.87460000000002</v>
      </c>
    </row>
    <row r="59" spans="1:6" x14ac:dyDescent="0.3">
      <c r="A59" s="2">
        <f>Table1[[#This Row],[Date]]</f>
        <v>45855</v>
      </c>
      <c r="B59" s="8">
        <f>Table1[[#This Row],[Price]]</f>
        <v>210.02</v>
      </c>
      <c r="C59" s="4">
        <f t="shared" si="0"/>
        <v>-6.6615911686327735E-4</v>
      </c>
      <c r="D59" s="8">
        <f t="shared" si="1"/>
        <v>210.61300000000006</v>
      </c>
      <c r="E59" s="8">
        <f t="shared" si="2"/>
        <v>206.72899999999998</v>
      </c>
      <c r="F59" s="8">
        <f t="shared" si="3"/>
        <v>204.09720000000002</v>
      </c>
    </row>
    <row r="60" spans="1:6" x14ac:dyDescent="0.3">
      <c r="A60" s="2">
        <f>Table1[[#This Row],[Date]]</f>
        <v>45856</v>
      </c>
      <c r="B60" s="8">
        <f>Table1[[#This Row],[Price]]</f>
        <v>211.18</v>
      </c>
      <c r="C60" s="4">
        <f t="shared" si="0"/>
        <v>5.5232834968098115E-3</v>
      </c>
      <c r="D60" s="8">
        <f t="shared" si="1"/>
        <v>210.37600000000003</v>
      </c>
      <c r="E60" s="8">
        <f t="shared" si="2"/>
        <v>207.45899999999997</v>
      </c>
      <c r="F60" s="8">
        <f t="shared" si="3"/>
        <v>204.35060000000001</v>
      </c>
    </row>
    <row r="61" spans="1:6" x14ac:dyDescent="0.3">
      <c r="A61" s="2">
        <f>Table1[[#This Row],[Date]]</f>
        <v>45859</v>
      </c>
      <c r="B61" s="8">
        <f>Table1[[#This Row],[Price]]</f>
        <v>212.48</v>
      </c>
      <c r="C61" s="4">
        <f t="shared" si="0"/>
        <v>6.155885974050492E-3</v>
      </c>
      <c r="D61" s="8">
        <f t="shared" si="1"/>
        <v>210.62899999999999</v>
      </c>
      <c r="E61" s="8">
        <f t="shared" si="2"/>
        <v>208.03299999999996</v>
      </c>
      <c r="F61" s="8">
        <f t="shared" si="3"/>
        <v>204.67520000000002</v>
      </c>
    </row>
    <row r="62" spans="1:6" x14ac:dyDescent="0.3">
      <c r="A62" s="2">
        <f>Table1[[#This Row],[Date]]</f>
        <v>45860</v>
      </c>
      <c r="B62" s="8">
        <f>Table1[[#This Row],[Price]]</f>
        <v>214.4</v>
      </c>
      <c r="C62" s="4">
        <f t="shared" si="0"/>
        <v>9.0361445783133289E-3</v>
      </c>
      <c r="D62" s="8">
        <f t="shared" si="1"/>
        <v>211.06800000000004</v>
      </c>
      <c r="E62" s="8">
        <f t="shared" si="2"/>
        <v>208.67799999999997</v>
      </c>
      <c r="F62" s="8">
        <f t="shared" si="3"/>
        <v>205.01339999999999</v>
      </c>
    </row>
    <row r="63" spans="1:6" x14ac:dyDescent="0.3">
      <c r="A63" s="2">
        <f>Table1[[#This Row],[Date]]</f>
        <v>45861</v>
      </c>
      <c r="B63" s="8">
        <f>Table1[[#This Row],[Price]]</f>
        <v>214.15</v>
      </c>
      <c r="C63" s="4">
        <f t="shared" si="0"/>
        <v>-1.1660447761194029E-3</v>
      </c>
      <c r="D63" s="8">
        <f t="shared" si="1"/>
        <v>211.369</v>
      </c>
      <c r="E63" s="8">
        <f t="shared" si="2"/>
        <v>209.37049999999994</v>
      </c>
      <c r="F63" s="8">
        <f t="shared" si="3"/>
        <v>205.32580000000002</v>
      </c>
    </row>
    <row r="64" spans="1:6" x14ac:dyDescent="0.3">
      <c r="A64" s="2">
        <f>Table1[[#This Row],[Date]]</f>
        <v>45862</v>
      </c>
      <c r="B64" s="8">
        <f>Table1[[#This Row],[Price]]</f>
        <v>213.76</v>
      </c>
      <c r="C64" s="4">
        <f t="shared" si="0"/>
        <v>-1.8211533971515983E-3</v>
      </c>
      <c r="D64" s="8">
        <f t="shared" si="1"/>
        <v>211.50399999999999</v>
      </c>
      <c r="E64" s="8">
        <f t="shared" si="2"/>
        <v>209.98049999999998</v>
      </c>
      <c r="F64" s="8">
        <f t="shared" si="3"/>
        <v>205.38520000000005</v>
      </c>
    </row>
    <row r="65" spans="1:6" x14ac:dyDescent="0.3">
      <c r="A65" s="2">
        <f>Table1[[#This Row],[Date]]</f>
        <v>45863</v>
      </c>
      <c r="B65" s="8">
        <f>Table1[[#This Row],[Price]]</f>
        <v>213.88</v>
      </c>
      <c r="C65" s="4">
        <f t="shared" si="0"/>
        <v>5.6137724550900337E-4</v>
      </c>
      <c r="D65" s="8">
        <f t="shared" si="1"/>
        <v>211.77600000000001</v>
      </c>
      <c r="E65" s="8">
        <f t="shared" si="2"/>
        <v>210.62449999999998</v>
      </c>
      <c r="F65" s="8">
        <f t="shared" si="3"/>
        <v>205.40419999999997</v>
      </c>
    </row>
    <row r="66" spans="1:6" x14ac:dyDescent="0.3">
      <c r="A66" s="2">
        <f>Table1[[#This Row],[Date]]</f>
        <v>45866</v>
      </c>
      <c r="B66" s="8">
        <f>Table1[[#This Row],[Price]]</f>
        <v>214.05</v>
      </c>
      <c r="C66" s="4">
        <f t="shared" si="0"/>
        <v>7.9483822704327618E-4</v>
      </c>
      <c r="D66" s="8">
        <f t="shared" si="1"/>
        <v>212.31900000000005</v>
      </c>
      <c r="E66" s="8">
        <f t="shared" si="2"/>
        <v>211.273</v>
      </c>
      <c r="F66" s="8">
        <f t="shared" si="3"/>
        <v>205.43859999999998</v>
      </c>
    </row>
    <row r="67" spans="1:6" x14ac:dyDescent="0.3">
      <c r="A67" s="2">
        <f>Table1[[#This Row],[Date]]</f>
        <v>45867</v>
      </c>
      <c r="B67" s="8">
        <f>Table1[[#This Row],[Price]]</f>
        <v>211.27</v>
      </c>
      <c r="C67" s="4">
        <f t="shared" si="0"/>
        <v>-1.298761971501986E-2</v>
      </c>
      <c r="D67" s="8">
        <f t="shared" si="1"/>
        <v>212.53500000000003</v>
      </c>
      <c r="E67" s="8">
        <f t="shared" si="2"/>
        <v>211.57800000000003</v>
      </c>
      <c r="F67" s="8">
        <f t="shared" si="3"/>
        <v>205.43499999999997</v>
      </c>
    </row>
    <row r="68" spans="1:6" x14ac:dyDescent="0.3">
      <c r="A68" s="2">
        <f>Table1[[#This Row],[Date]]</f>
        <v>45868</v>
      </c>
      <c r="B68" s="8">
        <f>Table1[[#This Row],[Price]]</f>
        <v>209.05</v>
      </c>
      <c r="C68" s="4">
        <f t="shared" ref="C68:C131" si="4">(B68-B67)/B67</f>
        <v>-1.0507880910683007E-2</v>
      </c>
      <c r="D68" s="8">
        <f t="shared" si="1"/>
        <v>212.42399999999998</v>
      </c>
      <c r="E68" s="8">
        <f t="shared" si="2"/>
        <v>211.6395</v>
      </c>
      <c r="F68" s="8">
        <f t="shared" si="3"/>
        <v>205.39079999999996</v>
      </c>
    </row>
    <row r="69" spans="1:6" x14ac:dyDescent="0.3">
      <c r="A69" s="2">
        <f>Table1[[#This Row],[Date]]</f>
        <v>45869</v>
      </c>
      <c r="B69" s="8">
        <f>Table1[[#This Row],[Price]]</f>
        <v>207.57</v>
      </c>
      <c r="C69" s="4">
        <f t="shared" si="4"/>
        <v>-7.0796460176992017E-3</v>
      </c>
      <c r="D69" s="8">
        <f t="shared" si="1"/>
        <v>212.179</v>
      </c>
      <c r="E69" s="8">
        <f t="shared" si="2"/>
        <v>211.39600000000004</v>
      </c>
      <c r="F69" s="8">
        <f t="shared" si="3"/>
        <v>205.36659999999992</v>
      </c>
    </row>
    <row r="70" spans="1:6" x14ac:dyDescent="0.3">
      <c r="A70" s="2">
        <f>Table1[[#This Row],[Date]]</f>
        <v>45870</v>
      </c>
      <c r="B70" s="8">
        <f>Table1[[#This Row],[Price]]</f>
        <v>202.38</v>
      </c>
      <c r="C70" s="4">
        <f t="shared" si="4"/>
        <v>-2.5003613238907346E-2</v>
      </c>
      <c r="D70" s="8">
        <f t="shared" si="1"/>
        <v>211.29899999999998</v>
      </c>
      <c r="E70" s="8">
        <f t="shared" si="2"/>
        <v>210.83750000000003</v>
      </c>
      <c r="F70" s="8">
        <f t="shared" si="3"/>
        <v>205.27699999999993</v>
      </c>
    </row>
    <row r="71" spans="1:6" x14ac:dyDescent="0.3">
      <c r="A71" s="2">
        <f>Table1[[#This Row],[Date]]</f>
        <v>45873</v>
      </c>
      <c r="B71" s="8">
        <f>Table1[[#This Row],[Price]]</f>
        <v>203.35</v>
      </c>
      <c r="C71" s="4">
        <f t="shared" si="4"/>
        <v>4.7929637315940257E-3</v>
      </c>
      <c r="D71" s="8">
        <f t="shared" si="1"/>
        <v>210.38599999999997</v>
      </c>
      <c r="E71" s="8">
        <f t="shared" si="2"/>
        <v>210.50750000000008</v>
      </c>
      <c r="F71" s="8">
        <f t="shared" si="3"/>
        <v>205.30219999999994</v>
      </c>
    </row>
    <row r="72" spans="1:6" x14ac:dyDescent="0.3">
      <c r="A72" s="2">
        <f>Table1[[#This Row],[Date]]</f>
        <v>45874</v>
      </c>
      <c r="B72" s="8">
        <f>Table1[[#This Row],[Price]]</f>
        <v>202.92</v>
      </c>
      <c r="C72" s="4">
        <f t="shared" si="4"/>
        <v>-2.114580772067897E-3</v>
      </c>
      <c r="D72" s="8">
        <f t="shared" si="1"/>
        <v>209.23799999999997</v>
      </c>
      <c r="E72" s="8">
        <f t="shared" si="2"/>
        <v>210.15300000000002</v>
      </c>
      <c r="F72" s="8">
        <f t="shared" si="3"/>
        <v>205.33339999999993</v>
      </c>
    </row>
    <row r="73" spans="1:6" x14ac:dyDescent="0.3">
      <c r="A73" s="2">
        <f>Table1[[#This Row],[Date]]</f>
        <v>45875</v>
      </c>
      <c r="B73" s="8">
        <f>Table1[[#This Row],[Price]]</f>
        <v>213.25</v>
      </c>
      <c r="C73" s="4">
        <f t="shared" si="4"/>
        <v>5.0906761285235629E-2</v>
      </c>
      <c r="D73" s="8">
        <f t="shared" si="1"/>
        <v>209.148</v>
      </c>
      <c r="E73" s="8">
        <f t="shared" si="2"/>
        <v>210.2585</v>
      </c>
      <c r="F73" s="8">
        <f t="shared" si="3"/>
        <v>205.69299999999993</v>
      </c>
    </row>
    <row r="74" spans="1:6" x14ac:dyDescent="0.3">
      <c r="A74" s="2">
        <f>Table1[[#This Row],[Date]]</f>
        <v>45876</v>
      </c>
      <c r="B74" s="8">
        <f>Table1[[#This Row],[Price]]</f>
        <v>220.03</v>
      </c>
      <c r="C74" s="4">
        <f t="shared" si="4"/>
        <v>3.1793669402110203E-2</v>
      </c>
      <c r="D74" s="8">
        <f t="shared" si="1"/>
        <v>209.77500000000001</v>
      </c>
      <c r="E74" s="8">
        <f t="shared" si="2"/>
        <v>210.63950000000006</v>
      </c>
      <c r="F74" s="8">
        <f t="shared" si="3"/>
        <v>206.08939999999993</v>
      </c>
    </row>
    <row r="75" spans="1:6" x14ac:dyDescent="0.3">
      <c r="A75" s="2">
        <f>Table1[[#This Row],[Date]]</f>
        <v>45877</v>
      </c>
      <c r="B75" s="8">
        <f>Table1[[#This Row],[Price]]</f>
        <v>229.35</v>
      </c>
      <c r="C75" s="4">
        <f t="shared" si="4"/>
        <v>4.2357860291778363E-2</v>
      </c>
      <c r="D75" s="8">
        <f t="shared" si="1"/>
        <v>211.32200000000003</v>
      </c>
      <c r="E75" s="8">
        <f t="shared" si="2"/>
        <v>211.54900000000006</v>
      </c>
      <c r="F75" s="8">
        <f t="shared" si="3"/>
        <v>206.66799999999995</v>
      </c>
    </row>
    <row r="76" spans="1:6" x14ac:dyDescent="0.3">
      <c r="A76" s="2">
        <f>Table1[[#This Row],[Date]]</f>
        <v>45880</v>
      </c>
      <c r="B76" s="8">
        <f>Table1[[#This Row],[Price]]</f>
        <v>227.18</v>
      </c>
      <c r="C76" s="4">
        <f t="shared" si="4"/>
        <v>-9.4615216917374647E-3</v>
      </c>
      <c r="D76" s="8">
        <f t="shared" ref="D76:D139" si="5">AVERAGE(B67:B76)</f>
        <v>212.63499999999999</v>
      </c>
      <c r="E76" s="8">
        <f t="shared" si="2"/>
        <v>212.47700000000003</v>
      </c>
      <c r="F76" s="8">
        <f t="shared" si="3"/>
        <v>207.21259999999998</v>
      </c>
    </row>
    <row r="77" spans="1:6" x14ac:dyDescent="0.3">
      <c r="A77" s="2">
        <f>Table1[[#This Row],[Date]]</f>
        <v>45881</v>
      </c>
      <c r="B77" s="8">
        <f>Table1[[#This Row],[Price]]</f>
        <v>229.65</v>
      </c>
      <c r="C77" s="4">
        <f t="shared" si="4"/>
        <v>1.0872435953869173E-2</v>
      </c>
      <c r="D77" s="8">
        <f t="shared" si="5"/>
        <v>214.47300000000001</v>
      </c>
      <c r="E77" s="8">
        <f t="shared" si="2"/>
        <v>213.50400000000005</v>
      </c>
      <c r="F77" s="8">
        <f t="shared" si="3"/>
        <v>207.78859999999997</v>
      </c>
    </row>
    <row r="78" spans="1:6" x14ac:dyDescent="0.3">
      <c r="A78" s="2">
        <f>Table1[[#This Row],[Date]]</f>
        <v>45882</v>
      </c>
      <c r="B78" s="8">
        <f>Table1[[#This Row],[Price]]</f>
        <v>233.33</v>
      </c>
      <c r="C78" s="4">
        <f t="shared" si="4"/>
        <v>1.6024384933594631E-2</v>
      </c>
      <c r="D78" s="8">
        <f t="shared" si="5"/>
        <v>216.90099999999998</v>
      </c>
      <c r="E78" s="8">
        <f t="shared" si="2"/>
        <v>214.66249999999999</v>
      </c>
      <c r="F78" s="8">
        <f t="shared" si="3"/>
        <v>208.4212</v>
      </c>
    </row>
    <row r="79" spans="1:6" x14ac:dyDescent="0.3">
      <c r="A79" s="2">
        <f>Table1[[#This Row],[Date]]</f>
        <v>45883</v>
      </c>
      <c r="B79" s="8">
        <f>Table1[[#This Row],[Price]]</f>
        <v>232.78</v>
      </c>
      <c r="C79" s="4">
        <f t="shared" si="4"/>
        <v>-2.3571765310933497E-3</v>
      </c>
      <c r="D79" s="8">
        <f t="shared" si="5"/>
        <v>219.42200000000003</v>
      </c>
      <c r="E79" s="8">
        <f t="shared" si="2"/>
        <v>215.8005</v>
      </c>
      <c r="F79" s="8">
        <f t="shared" si="3"/>
        <v>209.01140000000004</v>
      </c>
    </row>
    <row r="80" spans="1:6" x14ac:dyDescent="0.3">
      <c r="A80" s="2">
        <f>Table1[[#This Row],[Date]]</f>
        <v>45884</v>
      </c>
      <c r="B80" s="8">
        <f>Table1[[#This Row],[Price]]</f>
        <v>231.59</v>
      </c>
      <c r="C80" s="4">
        <f t="shared" si="4"/>
        <v>-5.1121230346249579E-3</v>
      </c>
      <c r="D80" s="8">
        <f t="shared" si="5"/>
        <v>222.34299999999999</v>
      </c>
      <c r="E80" s="8">
        <f t="shared" si="2"/>
        <v>216.821</v>
      </c>
      <c r="F80" s="8">
        <f t="shared" si="3"/>
        <v>209.58680000000004</v>
      </c>
    </row>
    <row r="81" spans="1:6" x14ac:dyDescent="0.3">
      <c r="A81" s="2">
        <f>Table1[[#This Row],[Date]]</f>
        <v>45887</v>
      </c>
      <c r="B81" s="8">
        <f>Table1[[#This Row],[Price]]</f>
        <v>230.89</v>
      </c>
      <c r="C81" s="4">
        <f t="shared" si="4"/>
        <v>-3.02258301308354E-3</v>
      </c>
      <c r="D81" s="8">
        <f t="shared" si="5"/>
        <v>225.09699999999998</v>
      </c>
      <c r="E81" s="8">
        <f t="shared" si="2"/>
        <v>217.7415</v>
      </c>
      <c r="F81" s="8">
        <f t="shared" si="3"/>
        <v>210.19200000000004</v>
      </c>
    </row>
    <row r="82" spans="1:6" x14ac:dyDescent="0.3">
      <c r="A82" s="2">
        <f>Table1[[#This Row],[Date]]</f>
        <v>45888</v>
      </c>
      <c r="B82" s="8">
        <f>Table1[[#This Row],[Price]]</f>
        <v>230.56</v>
      </c>
      <c r="C82" s="4">
        <f t="shared" si="4"/>
        <v>-1.429252024773633E-3</v>
      </c>
      <c r="D82" s="8">
        <f t="shared" si="5"/>
        <v>227.86099999999996</v>
      </c>
      <c r="E82" s="8">
        <f t="shared" si="2"/>
        <v>218.54950000000002</v>
      </c>
      <c r="F82" s="8">
        <f t="shared" si="3"/>
        <v>210.72480000000004</v>
      </c>
    </row>
    <row r="83" spans="1:6" x14ac:dyDescent="0.3">
      <c r="A83" s="2">
        <f>Table1[[#This Row],[Date]]</f>
        <v>45889</v>
      </c>
      <c r="B83" s="8">
        <f>Table1[[#This Row],[Price]]</f>
        <v>226.01</v>
      </c>
      <c r="C83" s="4">
        <f t="shared" si="4"/>
        <v>-1.9734559333796024E-2</v>
      </c>
      <c r="D83" s="8">
        <f t="shared" si="5"/>
        <v>229.137</v>
      </c>
      <c r="E83" s="8">
        <f t="shared" si="2"/>
        <v>219.14250000000001</v>
      </c>
      <c r="F83" s="8">
        <f t="shared" si="3"/>
        <v>211.21600000000001</v>
      </c>
    </row>
    <row r="84" spans="1:6" x14ac:dyDescent="0.3">
      <c r="A84" s="2">
        <f>Table1[[#This Row],[Date]]</f>
        <v>45890</v>
      </c>
      <c r="B84" s="8">
        <f>Table1[[#This Row],[Price]]</f>
        <v>224.9</v>
      </c>
      <c r="C84" s="4">
        <f t="shared" si="4"/>
        <v>-4.9112871111897053E-3</v>
      </c>
      <c r="D84" s="8">
        <f t="shared" si="5"/>
        <v>229.62400000000002</v>
      </c>
      <c r="E84" s="8">
        <f t="shared" si="2"/>
        <v>219.6995</v>
      </c>
      <c r="F84" s="8">
        <f t="shared" si="3"/>
        <v>211.66060000000002</v>
      </c>
    </row>
    <row r="85" spans="1:6" x14ac:dyDescent="0.3">
      <c r="A85" s="2">
        <f>Table1[[#This Row],[Date]]</f>
        <v>45891</v>
      </c>
      <c r="B85" s="8">
        <f>Table1[[#This Row],[Price]]</f>
        <v>227.76</v>
      </c>
      <c r="C85" s="4">
        <f t="shared" si="4"/>
        <v>1.2716763005780281E-2</v>
      </c>
      <c r="D85" s="8">
        <f t="shared" si="5"/>
        <v>229.46499999999997</v>
      </c>
      <c r="E85" s="8">
        <f t="shared" si="2"/>
        <v>220.39349999999999</v>
      </c>
      <c r="F85" s="8">
        <f t="shared" si="3"/>
        <v>212.24020000000002</v>
      </c>
    </row>
    <row r="86" spans="1:6" x14ac:dyDescent="0.3">
      <c r="A86" s="2">
        <f>Table1[[#This Row],[Date]]</f>
        <v>45894</v>
      </c>
      <c r="B86" s="8">
        <f>Table1[[#This Row],[Price]]</f>
        <v>227.16</v>
      </c>
      <c r="C86" s="4">
        <f t="shared" si="4"/>
        <v>-2.6343519494204178E-3</v>
      </c>
      <c r="D86" s="8">
        <f t="shared" si="5"/>
        <v>229.46300000000002</v>
      </c>
      <c r="E86" s="8">
        <f t="shared" ref="E86:E149" si="6">AVERAGE(B67:B86)</f>
        <v>221.04899999999998</v>
      </c>
      <c r="F86" s="8">
        <f t="shared" si="3"/>
        <v>212.79939999999999</v>
      </c>
    </row>
    <row r="87" spans="1:6" x14ac:dyDescent="0.3">
      <c r="A87" s="2">
        <f>Table1[[#This Row],[Date]]</f>
        <v>45895</v>
      </c>
      <c r="B87" s="8">
        <f>Table1[[#This Row],[Price]]</f>
        <v>229.31</v>
      </c>
      <c r="C87" s="4">
        <f t="shared" si="4"/>
        <v>9.4646944884663048E-3</v>
      </c>
      <c r="D87" s="8">
        <f t="shared" si="5"/>
        <v>229.429</v>
      </c>
      <c r="E87" s="8">
        <f t="shared" si="6"/>
        <v>221.95100000000002</v>
      </c>
      <c r="F87" s="8">
        <f t="shared" si="3"/>
        <v>213.45660000000001</v>
      </c>
    </row>
    <row r="88" spans="1:6" x14ac:dyDescent="0.3">
      <c r="A88" s="2">
        <f>Table1[[#This Row],[Date]]</f>
        <v>45896</v>
      </c>
      <c r="B88" s="8">
        <f>Table1[[#This Row],[Price]]</f>
        <v>230.49</v>
      </c>
      <c r="C88" s="4">
        <f t="shared" si="4"/>
        <v>5.1458723998081494E-3</v>
      </c>
      <c r="D88" s="8">
        <f t="shared" si="5"/>
        <v>229.14499999999998</v>
      </c>
      <c r="E88" s="8">
        <f t="shared" si="6"/>
        <v>223.023</v>
      </c>
      <c r="F88" s="8">
        <f t="shared" si="3"/>
        <v>214.09799999999998</v>
      </c>
    </row>
    <row r="89" spans="1:6" x14ac:dyDescent="0.3">
      <c r="A89" s="2">
        <f>Table1[[#This Row],[Date]]</f>
        <v>45897</v>
      </c>
      <c r="B89" s="8">
        <f>Table1[[#This Row],[Price]]</f>
        <v>232.56</v>
      </c>
      <c r="C89" s="4">
        <f t="shared" si="4"/>
        <v>8.9808668488871243E-3</v>
      </c>
      <c r="D89" s="8">
        <f t="shared" si="5"/>
        <v>229.12299999999999</v>
      </c>
      <c r="E89" s="8">
        <f t="shared" si="6"/>
        <v>224.27250000000004</v>
      </c>
      <c r="F89" s="8">
        <f t="shared" si="3"/>
        <v>214.8364</v>
      </c>
    </row>
    <row r="90" spans="1:6" x14ac:dyDescent="0.3">
      <c r="A90" s="2">
        <f>Table1[[#This Row],[Date]]</f>
        <v>45898</v>
      </c>
      <c r="B90" s="8">
        <f>Table1[[#This Row],[Price]]</f>
        <v>232.14</v>
      </c>
      <c r="C90" s="4">
        <f t="shared" si="4"/>
        <v>-1.8059855521156516E-3</v>
      </c>
      <c r="D90" s="8">
        <f t="shared" si="5"/>
        <v>229.17799999999997</v>
      </c>
      <c r="E90" s="8">
        <f t="shared" si="6"/>
        <v>225.76050000000001</v>
      </c>
      <c r="F90" s="8">
        <f t="shared" si="3"/>
        <v>215.54759999999996</v>
      </c>
    </row>
    <row r="91" spans="1:6" x14ac:dyDescent="0.3">
      <c r="A91" s="2">
        <f>Table1[[#This Row],[Date]]</f>
        <v>45902</v>
      </c>
      <c r="B91" s="8">
        <f>Table1[[#This Row],[Price]]</f>
        <v>229.72</v>
      </c>
      <c r="C91" s="4">
        <f t="shared" si="4"/>
        <v>-1.0424743689153044E-2</v>
      </c>
      <c r="D91" s="8">
        <f t="shared" si="5"/>
        <v>229.06099999999998</v>
      </c>
      <c r="E91" s="8">
        <f t="shared" si="6"/>
        <v>227.07900000000001</v>
      </c>
      <c r="F91" s="8">
        <f t="shared" si="3"/>
        <v>216.1219999999999</v>
      </c>
    </row>
    <row r="92" spans="1:6" x14ac:dyDescent="0.3">
      <c r="A92" s="2">
        <f>Table1[[#This Row],[Date]]</f>
        <v>45903</v>
      </c>
      <c r="B92" s="8">
        <f>Table1[[#This Row],[Price]]</f>
        <v>238.47</v>
      </c>
      <c r="C92" s="4">
        <f t="shared" si="4"/>
        <v>3.8089848511231067E-2</v>
      </c>
      <c r="D92" s="8">
        <f t="shared" si="5"/>
        <v>229.85199999999995</v>
      </c>
      <c r="E92" s="8">
        <f t="shared" si="6"/>
        <v>228.85650000000001</v>
      </c>
      <c r="F92" s="8">
        <f t="shared" si="3"/>
        <v>216.86139999999992</v>
      </c>
    </row>
    <row r="93" spans="1:6" x14ac:dyDescent="0.3">
      <c r="A93" s="2">
        <f>Table1[[#This Row],[Date]]</f>
        <v>45904</v>
      </c>
      <c r="B93" s="8">
        <f>Table1[[#This Row],[Price]]</f>
        <v>239.78</v>
      </c>
      <c r="C93" s="4">
        <f t="shared" si="4"/>
        <v>5.4933534616513702E-3</v>
      </c>
      <c r="D93" s="8">
        <f t="shared" si="5"/>
        <v>231.22899999999998</v>
      </c>
      <c r="E93" s="8">
        <f t="shared" si="6"/>
        <v>230.18299999999999</v>
      </c>
      <c r="F93" s="8">
        <f t="shared" si="3"/>
        <v>217.65099999999995</v>
      </c>
    </row>
    <row r="94" spans="1:6" x14ac:dyDescent="0.3">
      <c r="A94" s="2">
        <f>Table1[[#This Row],[Date]]</f>
        <v>45905</v>
      </c>
      <c r="B94" s="8">
        <f>Table1[[#This Row],[Price]]</f>
        <v>239.69</v>
      </c>
      <c r="C94" s="4">
        <f t="shared" si="4"/>
        <v>-3.7534406539329137E-4</v>
      </c>
      <c r="D94" s="8">
        <f t="shared" si="5"/>
        <v>232.70800000000003</v>
      </c>
      <c r="E94" s="8">
        <f t="shared" si="6"/>
        <v>231.16599999999994</v>
      </c>
      <c r="F94" s="8">
        <f t="shared" si="3"/>
        <v>218.41359999999997</v>
      </c>
    </row>
    <row r="95" spans="1:6" x14ac:dyDescent="0.3">
      <c r="A95" s="2">
        <f>Table1[[#This Row],[Date]]</f>
        <v>45908</v>
      </c>
      <c r="B95" s="8">
        <f>Table1[[#This Row],[Price]]</f>
        <v>237.88</v>
      </c>
      <c r="C95" s="4">
        <f t="shared" si="4"/>
        <v>-7.5514205849222006E-3</v>
      </c>
      <c r="D95" s="8">
        <f t="shared" si="5"/>
        <v>233.71999999999997</v>
      </c>
      <c r="E95" s="8">
        <f t="shared" si="6"/>
        <v>231.59249999999992</v>
      </c>
      <c r="F95" s="8">
        <f t="shared" si="3"/>
        <v>219.15119999999999</v>
      </c>
    </row>
    <row r="96" spans="1:6" x14ac:dyDescent="0.3">
      <c r="A96" s="2">
        <f>Table1[[#This Row],[Date]]</f>
        <v>45909</v>
      </c>
      <c r="B96" s="8">
        <f>Table1[[#This Row],[Price]]</f>
        <v>234.35</v>
      </c>
      <c r="C96" s="4">
        <f t="shared" si="4"/>
        <v>-1.4839414831007236E-2</v>
      </c>
      <c r="D96" s="8">
        <f t="shared" si="5"/>
        <v>234.43899999999999</v>
      </c>
      <c r="E96" s="8">
        <f t="shared" si="6"/>
        <v>231.95100000000002</v>
      </c>
      <c r="F96" s="8">
        <f t="shared" si="3"/>
        <v>219.81659999999997</v>
      </c>
    </row>
    <row r="97" spans="1:6" x14ac:dyDescent="0.3">
      <c r="A97" s="2">
        <f>Table1[[#This Row],[Date]]</f>
        <v>45910</v>
      </c>
      <c r="B97" s="8">
        <f>Table1[[#This Row],[Price]]</f>
        <v>226.79</v>
      </c>
      <c r="C97" s="4">
        <f t="shared" si="4"/>
        <v>-3.2259441007040764E-2</v>
      </c>
      <c r="D97" s="8">
        <f t="shared" si="5"/>
        <v>234.18699999999998</v>
      </c>
      <c r="E97" s="8">
        <f t="shared" si="6"/>
        <v>231.80799999999999</v>
      </c>
      <c r="F97" s="8">
        <f t="shared" si="3"/>
        <v>220.24899999999997</v>
      </c>
    </row>
    <row r="98" spans="1:6" x14ac:dyDescent="0.3">
      <c r="A98" s="2">
        <f>Table1[[#This Row],[Date]]</f>
        <v>45911</v>
      </c>
      <c r="B98" s="8">
        <f>Table1[[#This Row],[Price]]</f>
        <v>230.03</v>
      </c>
      <c r="C98" s="4">
        <f t="shared" si="4"/>
        <v>1.4286344195070371E-2</v>
      </c>
      <c r="D98" s="8">
        <f t="shared" si="5"/>
        <v>234.14100000000002</v>
      </c>
      <c r="E98" s="8">
        <f t="shared" si="6"/>
        <v>231.64299999999997</v>
      </c>
      <c r="F98" s="8">
        <f t="shared" si="3"/>
        <v>220.69319999999999</v>
      </c>
    </row>
    <row r="99" spans="1:6" x14ac:dyDescent="0.3">
      <c r="A99" s="2">
        <f>Table1[[#This Row],[Date]]</f>
        <v>45912</v>
      </c>
      <c r="B99" s="8">
        <f>Table1[[#This Row],[Price]]</f>
        <v>234.07</v>
      </c>
      <c r="C99" s="4">
        <f t="shared" si="4"/>
        <v>1.7562926574794559E-2</v>
      </c>
      <c r="D99" s="8">
        <f t="shared" si="5"/>
        <v>234.292</v>
      </c>
      <c r="E99" s="8">
        <f t="shared" si="6"/>
        <v>231.70749999999998</v>
      </c>
      <c r="F99" s="8">
        <f t="shared" si="3"/>
        <v>221.12580000000003</v>
      </c>
    </row>
    <row r="100" spans="1:6" x14ac:dyDescent="0.3">
      <c r="A100" s="2">
        <f>Table1[[#This Row],[Date]]</f>
        <v>45915</v>
      </c>
      <c r="B100" s="8">
        <f>Table1[[#This Row],[Price]]</f>
        <v>236.7</v>
      </c>
      <c r="C100" s="4">
        <f t="shared" si="4"/>
        <v>1.1235955056179756E-2</v>
      </c>
      <c r="D100" s="8">
        <f t="shared" si="5"/>
        <v>234.74799999999996</v>
      </c>
      <c r="E100" s="8">
        <f t="shared" si="6"/>
        <v>231.96299999999997</v>
      </c>
      <c r="F100" s="8">
        <f t="shared" si="3"/>
        <v>221.58880000000005</v>
      </c>
    </row>
    <row r="101" spans="1:6" x14ac:dyDescent="0.3">
      <c r="A101" s="2">
        <f>Table1[[#This Row],[Date]]</f>
        <v>45916</v>
      </c>
      <c r="B101" s="8">
        <f>Table1[[#This Row],[Price]]</f>
        <v>238.15</v>
      </c>
      <c r="C101" s="4">
        <f t="shared" si="4"/>
        <v>6.1258977608788217E-3</v>
      </c>
      <c r="D101" s="8">
        <f t="shared" si="5"/>
        <v>235.59099999999998</v>
      </c>
      <c r="E101" s="8">
        <f t="shared" si="6"/>
        <v>232.32599999999996</v>
      </c>
      <c r="F101" s="8">
        <f t="shared" si="3"/>
        <v>222.15280000000007</v>
      </c>
    </row>
    <row r="102" spans="1:6" x14ac:dyDescent="0.3">
      <c r="A102" s="2">
        <f>Table1[[#This Row],[Date]]</f>
        <v>45917</v>
      </c>
      <c r="B102" s="8">
        <f>Table1[[#This Row],[Price]]</f>
        <v>238.99</v>
      </c>
      <c r="C102" s="4">
        <f t="shared" si="4"/>
        <v>3.5271887465882991E-3</v>
      </c>
      <c r="D102" s="8">
        <f t="shared" si="5"/>
        <v>235.64300000000003</v>
      </c>
      <c r="E102" s="8">
        <f t="shared" si="6"/>
        <v>232.7475</v>
      </c>
      <c r="F102" s="8">
        <f t="shared" si="3"/>
        <v>222.73240000000004</v>
      </c>
    </row>
    <row r="103" spans="1:6" x14ac:dyDescent="0.3">
      <c r="A103" s="2">
        <f>Table1[[#This Row],[Date]]</f>
        <v>45918</v>
      </c>
      <c r="B103" s="8">
        <f>Table1[[#This Row],[Price]]</f>
        <v>237.88</v>
      </c>
      <c r="C103" s="4">
        <f t="shared" si="4"/>
        <v>-4.6445457968953248E-3</v>
      </c>
      <c r="D103" s="8">
        <f t="shared" si="5"/>
        <v>235.45300000000003</v>
      </c>
      <c r="E103" s="8">
        <f t="shared" si="6"/>
        <v>233.34099999999998</v>
      </c>
      <c r="F103" s="8">
        <f t="shared" si="3"/>
        <v>223.26720000000006</v>
      </c>
    </row>
    <row r="104" spans="1:6" x14ac:dyDescent="0.3">
      <c r="A104" s="2">
        <f>Table1[[#This Row],[Date]]</f>
        <v>45919</v>
      </c>
      <c r="B104" s="8">
        <f>Table1[[#This Row],[Price]]</f>
        <v>245.5</v>
      </c>
      <c r="C104" s="4">
        <f t="shared" si="4"/>
        <v>3.2032957793845657E-2</v>
      </c>
      <c r="D104" s="8">
        <f t="shared" si="5"/>
        <v>236.03400000000002</v>
      </c>
      <c r="E104" s="8">
        <f t="shared" si="6"/>
        <v>234.37100000000004</v>
      </c>
      <c r="F104" s="8">
        <f t="shared" si="3"/>
        <v>223.92900000000009</v>
      </c>
    </row>
    <row r="105" spans="1:6" x14ac:dyDescent="0.3">
      <c r="A105" s="2">
        <f>Table1[[#This Row],[Date]]</f>
        <v>45922</v>
      </c>
      <c r="B105" s="8">
        <f>Table1[[#This Row],[Price]]</f>
        <v>256.08</v>
      </c>
      <c r="C105" s="4">
        <f t="shared" si="4"/>
        <v>4.3095723014256557E-2</v>
      </c>
      <c r="D105" s="8">
        <f t="shared" si="5"/>
        <v>237.85399999999998</v>
      </c>
      <c r="E105" s="8">
        <f t="shared" si="6"/>
        <v>235.78699999999998</v>
      </c>
      <c r="F105" s="8">
        <f t="shared" si="3"/>
        <v>224.8274000000001</v>
      </c>
    </row>
    <row r="106" spans="1:6" x14ac:dyDescent="0.3">
      <c r="A106" s="2">
        <f>Table1[[#This Row],[Date]]</f>
        <v>45923</v>
      </c>
      <c r="B106" s="8">
        <f>Table1[[#This Row],[Price]]</f>
        <v>254.43</v>
      </c>
      <c r="C106" s="4">
        <f t="shared" si="4"/>
        <v>-6.4432989690720761E-3</v>
      </c>
      <c r="D106" s="8">
        <f t="shared" si="5"/>
        <v>239.86199999999999</v>
      </c>
      <c r="E106" s="8">
        <f t="shared" si="6"/>
        <v>237.15050000000002</v>
      </c>
      <c r="F106" s="8">
        <f t="shared" si="3"/>
        <v>225.74360000000004</v>
      </c>
    </row>
    <row r="107" spans="1:6" x14ac:dyDescent="0.3">
      <c r="A107" s="2">
        <f>Table1[[#This Row],[Date]]</f>
        <v>45924</v>
      </c>
      <c r="B107" s="8">
        <f>Table1[[#This Row],[Price]]</f>
        <v>252.31</v>
      </c>
      <c r="C107" s="4">
        <f t="shared" si="4"/>
        <v>-8.332350744802125E-3</v>
      </c>
      <c r="D107" s="8">
        <f t="shared" si="5"/>
        <v>242.41399999999999</v>
      </c>
      <c r="E107" s="8">
        <f t="shared" si="6"/>
        <v>238.30050000000006</v>
      </c>
      <c r="F107" s="8">
        <f t="shared" si="3"/>
        <v>226.60760000000005</v>
      </c>
    </row>
    <row r="108" spans="1:6" x14ac:dyDescent="0.3">
      <c r="A108" s="2">
        <f>Table1[[#This Row],[Date]]</f>
        <v>45925</v>
      </c>
      <c r="B108" s="8">
        <f>Table1[[#This Row],[Price]]</f>
        <v>256.87</v>
      </c>
      <c r="C108" s="4">
        <f t="shared" si="4"/>
        <v>1.8073005429828395E-2</v>
      </c>
      <c r="D108" s="8">
        <f t="shared" si="5"/>
        <v>245.09800000000001</v>
      </c>
      <c r="E108" s="8">
        <f t="shared" si="6"/>
        <v>239.61950000000007</v>
      </c>
      <c r="F108" s="8">
        <f t="shared" si="3"/>
        <v>227.54180000000005</v>
      </c>
    </row>
    <row r="109" spans="1:6" x14ac:dyDescent="0.3">
      <c r="A109" s="2">
        <f>Table1[[#This Row],[Date]]</f>
        <v>45926</v>
      </c>
      <c r="B109" s="8">
        <f>Table1[[#This Row],[Price]]</f>
        <v>255.46</v>
      </c>
      <c r="C109" s="4">
        <f t="shared" si="4"/>
        <v>-5.4891579398139E-3</v>
      </c>
      <c r="D109" s="8">
        <f t="shared" si="5"/>
        <v>247.23699999999999</v>
      </c>
      <c r="E109" s="8">
        <f t="shared" si="6"/>
        <v>240.7645</v>
      </c>
      <c r="F109" s="8">
        <f t="shared" si="3"/>
        <v>228.45060000000004</v>
      </c>
    </row>
    <row r="110" spans="1:6" x14ac:dyDescent="0.3">
      <c r="A110" s="2">
        <f>Table1[[#This Row],[Date]]</f>
        <v>45929</v>
      </c>
      <c r="B110" s="8">
        <f>Table1[[#This Row],[Price]]</f>
        <v>254.43</v>
      </c>
      <c r="C110" s="4">
        <f t="shared" si="4"/>
        <v>-4.0319423784545569E-3</v>
      </c>
      <c r="D110" s="8">
        <f t="shared" si="5"/>
        <v>249.01</v>
      </c>
      <c r="E110" s="8">
        <f t="shared" si="6"/>
        <v>241.87899999999999</v>
      </c>
      <c r="F110" s="8">
        <f t="shared" si="3"/>
        <v>229.31560000000005</v>
      </c>
    </row>
    <row r="111" spans="1:6" x14ac:dyDescent="0.3">
      <c r="A111" s="2">
        <f>Table1[[#This Row],[Date]]</f>
        <v>45930</v>
      </c>
      <c r="B111" s="8">
        <f>Table1[[#This Row],[Price]]</f>
        <v>254.63</v>
      </c>
      <c r="C111" s="4">
        <f t="shared" si="4"/>
        <v>7.8607082498128613E-4</v>
      </c>
      <c r="D111" s="8">
        <f t="shared" si="5"/>
        <v>250.65799999999999</v>
      </c>
      <c r="E111" s="8">
        <f t="shared" si="6"/>
        <v>243.12449999999998</v>
      </c>
      <c r="F111" s="8">
        <f t="shared" si="3"/>
        <v>230.15860000000001</v>
      </c>
    </row>
    <row r="112" spans="1:6" x14ac:dyDescent="0.3">
      <c r="A112" s="2">
        <f>Table1[[#This Row],[Date]]</f>
        <v>45931</v>
      </c>
      <c r="B112" s="8">
        <f>Table1[[#This Row],[Price]]</f>
        <v>255.45</v>
      </c>
      <c r="C112" s="4">
        <f t="shared" si="4"/>
        <v>3.2203589522051337E-3</v>
      </c>
      <c r="D112" s="8">
        <f t="shared" si="5"/>
        <v>252.304</v>
      </c>
      <c r="E112" s="8">
        <f t="shared" si="6"/>
        <v>243.9735</v>
      </c>
      <c r="F112" s="8">
        <f t="shared" si="3"/>
        <v>230.97960000000003</v>
      </c>
    </row>
    <row r="113" spans="1:6" x14ac:dyDescent="0.3">
      <c r="A113" s="2">
        <f>Table1[[#This Row],[Date]]</f>
        <v>45932</v>
      </c>
      <c r="B113" s="8">
        <f>Table1[[#This Row],[Price]]</f>
        <v>257.13</v>
      </c>
      <c r="C113" s="4">
        <f t="shared" si="4"/>
        <v>6.5766294773928636E-3</v>
      </c>
      <c r="D113" s="8">
        <f t="shared" si="5"/>
        <v>254.22899999999998</v>
      </c>
      <c r="E113" s="8">
        <f t="shared" si="6"/>
        <v>244.84099999999998</v>
      </c>
      <c r="F113" s="8">
        <f t="shared" si="3"/>
        <v>231.83919999999998</v>
      </c>
    </row>
    <row r="114" spans="1:6" x14ac:dyDescent="0.3">
      <c r="A114" s="2">
        <f>Table1[[#This Row],[Date]]</f>
        <v>45933</v>
      </c>
      <c r="B114" s="8">
        <f>Table1[[#This Row],[Price]]</f>
        <v>258.02</v>
      </c>
      <c r="C114" s="4">
        <f t="shared" si="4"/>
        <v>3.461284175319824E-3</v>
      </c>
      <c r="D114" s="8">
        <f t="shared" si="5"/>
        <v>255.48099999999999</v>
      </c>
      <c r="E114" s="8">
        <f t="shared" si="6"/>
        <v>245.75749999999999</v>
      </c>
      <c r="F114" s="8">
        <f t="shared" si="3"/>
        <v>232.72439999999997</v>
      </c>
    </row>
    <row r="115" spans="1:6" x14ac:dyDescent="0.3">
      <c r="A115" s="2">
        <f>Table1[[#This Row],[Date]]</f>
        <v>45936</v>
      </c>
      <c r="B115" s="8">
        <f>Table1[[#This Row],[Price]]</f>
        <v>256.69</v>
      </c>
      <c r="C115" s="4">
        <f t="shared" si="4"/>
        <v>-5.1546391752576703E-3</v>
      </c>
      <c r="D115" s="8">
        <f t="shared" si="5"/>
        <v>255.542</v>
      </c>
      <c r="E115" s="8">
        <f t="shared" si="6"/>
        <v>246.69800000000001</v>
      </c>
      <c r="F115" s="8">
        <f t="shared" si="3"/>
        <v>233.58059999999998</v>
      </c>
    </row>
    <row r="116" spans="1:6" x14ac:dyDescent="0.3">
      <c r="A116" s="2">
        <f>Table1[[#This Row],[Date]]</f>
        <v>45937</v>
      </c>
      <c r="B116" s="8">
        <f>Table1[[#This Row],[Price]]</f>
        <v>256.48</v>
      </c>
      <c r="C116" s="4">
        <f t="shared" si="4"/>
        <v>-8.1810744477766781E-4</v>
      </c>
      <c r="D116" s="8">
        <f t="shared" si="5"/>
        <v>255.74699999999999</v>
      </c>
      <c r="E116" s="8">
        <f t="shared" si="6"/>
        <v>247.80450000000002</v>
      </c>
      <c r="F116" s="8">
        <f t="shared" ref="F116:F179" si="7">AVERAGE(B67:B116)</f>
        <v>234.42919999999998</v>
      </c>
    </row>
    <row r="117" spans="1:6" x14ac:dyDescent="0.3">
      <c r="A117" s="2">
        <f>Table1[[#This Row],[Date]]</f>
        <v>45938</v>
      </c>
      <c r="B117" s="8">
        <f>Table1[[#This Row],[Price]]</f>
        <v>258.06</v>
      </c>
      <c r="C117" s="4">
        <f t="shared" si="4"/>
        <v>6.1603243917653771E-3</v>
      </c>
      <c r="D117" s="8">
        <f t="shared" si="5"/>
        <v>256.322</v>
      </c>
      <c r="E117" s="8">
        <f t="shared" si="6"/>
        <v>249.36799999999999</v>
      </c>
      <c r="F117" s="8">
        <f t="shared" si="7"/>
        <v>235.36499999999995</v>
      </c>
    </row>
    <row r="118" spans="1:6" x14ac:dyDescent="0.3">
      <c r="A118" s="2">
        <f>Table1[[#This Row],[Date]]</f>
        <v>45939</v>
      </c>
      <c r="B118" s="8">
        <f>Table1[[#This Row],[Price]]</f>
        <v>254.04</v>
      </c>
      <c r="C118" s="4">
        <f t="shared" si="4"/>
        <v>-1.5577772611020732E-2</v>
      </c>
      <c r="D118" s="8">
        <f t="shared" si="5"/>
        <v>256.03899999999999</v>
      </c>
      <c r="E118" s="8">
        <f t="shared" si="6"/>
        <v>250.56850000000003</v>
      </c>
      <c r="F118" s="8">
        <f t="shared" si="7"/>
        <v>236.26480000000001</v>
      </c>
    </row>
    <row r="119" spans="1:6" x14ac:dyDescent="0.3">
      <c r="A119" s="2">
        <f>Table1[[#This Row],[Date]]</f>
        <v>45940</v>
      </c>
      <c r="B119" s="8">
        <f>Table1[[#This Row],[Price]]</f>
        <v>245.27</v>
      </c>
      <c r="C119" s="4">
        <f t="shared" si="4"/>
        <v>-3.4522122500393569E-2</v>
      </c>
      <c r="D119" s="8">
        <f t="shared" si="5"/>
        <v>255.01999999999998</v>
      </c>
      <c r="E119" s="8">
        <f t="shared" si="6"/>
        <v>251.12850000000003</v>
      </c>
      <c r="F119" s="8">
        <f t="shared" si="7"/>
        <v>237.0188</v>
      </c>
    </row>
    <row r="120" spans="1:6" x14ac:dyDescent="0.3">
      <c r="A120" s="2">
        <f>Table1[[#This Row],[Date]]</f>
        <v>45943</v>
      </c>
      <c r="B120" s="8">
        <f>Table1[[#This Row],[Price]]</f>
        <v>247.66</v>
      </c>
      <c r="C120" s="4">
        <f t="shared" si="4"/>
        <v>9.7443633546703077E-3</v>
      </c>
      <c r="D120" s="8">
        <f t="shared" si="5"/>
        <v>254.34299999999999</v>
      </c>
      <c r="E120" s="8">
        <f t="shared" si="6"/>
        <v>251.67650000000003</v>
      </c>
      <c r="F120" s="8">
        <f t="shared" si="7"/>
        <v>237.92439999999999</v>
      </c>
    </row>
    <row r="121" spans="1:6" x14ac:dyDescent="0.3">
      <c r="A121" s="2">
        <f>Table1[[#This Row],[Date]]</f>
        <v>45944</v>
      </c>
      <c r="B121" s="8">
        <f>Table1[[#This Row],[Price]]</f>
        <v>247.77</v>
      </c>
      <c r="C121" s="4">
        <f t="shared" si="4"/>
        <v>4.4415731244453545E-4</v>
      </c>
      <c r="D121" s="8">
        <f t="shared" si="5"/>
        <v>253.65699999999998</v>
      </c>
      <c r="E121" s="8">
        <f t="shared" si="6"/>
        <v>252.15750000000003</v>
      </c>
      <c r="F121" s="8">
        <f t="shared" si="7"/>
        <v>238.81279999999998</v>
      </c>
    </row>
    <row r="122" spans="1:6" x14ac:dyDescent="0.3">
      <c r="A122" s="2">
        <f>Table1[[#This Row],[Date]]</f>
        <v>45945</v>
      </c>
      <c r="B122" s="8">
        <f>Table1[[#This Row],[Price]]</f>
        <v>249.34</v>
      </c>
      <c r="C122" s="4">
        <f t="shared" si="4"/>
        <v>6.336521774226069E-3</v>
      </c>
      <c r="D122" s="8">
        <f t="shared" si="5"/>
        <v>253.04599999999999</v>
      </c>
      <c r="E122" s="8">
        <f t="shared" si="6"/>
        <v>252.67500000000004</v>
      </c>
      <c r="F122" s="8">
        <f t="shared" si="7"/>
        <v>239.74119999999999</v>
      </c>
    </row>
    <row r="123" spans="1:6" x14ac:dyDescent="0.3">
      <c r="A123" s="2">
        <f>Table1[[#This Row],[Date]]</f>
        <v>45946</v>
      </c>
      <c r="B123" s="8">
        <f>Table1[[#This Row],[Price]]</f>
        <v>247.45</v>
      </c>
      <c r="C123" s="4">
        <f t="shared" si="4"/>
        <v>-7.5800112296463256E-3</v>
      </c>
      <c r="D123" s="8">
        <f t="shared" si="5"/>
        <v>252.07799999999997</v>
      </c>
      <c r="E123" s="8">
        <f t="shared" si="6"/>
        <v>253.15350000000004</v>
      </c>
      <c r="F123" s="8">
        <f t="shared" si="7"/>
        <v>240.42520000000002</v>
      </c>
    </row>
    <row r="124" spans="1:6" x14ac:dyDescent="0.3">
      <c r="A124" s="2">
        <f>Table1[[#This Row],[Date]]</f>
        <v>45947</v>
      </c>
      <c r="B124" s="8">
        <f>Table1[[#This Row],[Price]]</f>
        <v>252.29</v>
      </c>
      <c r="C124" s="4">
        <f t="shared" si="4"/>
        <v>1.9559506971105287E-2</v>
      </c>
      <c r="D124" s="8">
        <f t="shared" si="5"/>
        <v>251.50499999999997</v>
      </c>
      <c r="E124" s="8">
        <f t="shared" si="6"/>
        <v>253.49299999999999</v>
      </c>
      <c r="F124" s="8">
        <f t="shared" si="7"/>
        <v>241.07040000000001</v>
      </c>
    </row>
    <row r="125" spans="1:6" x14ac:dyDescent="0.3">
      <c r="A125" s="2">
        <f>Table1[[#This Row],[Date]]</f>
        <v>45950</v>
      </c>
      <c r="B125" s="8">
        <f>Table1[[#This Row],[Price]]</f>
        <v>262.24</v>
      </c>
      <c r="C125" s="4">
        <f t="shared" si="4"/>
        <v>3.943874113123793E-2</v>
      </c>
      <c r="D125" s="8">
        <f t="shared" si="5"/>
        <v>252.06000000000003</v>
      </c>
      <c r="E125" s="8">
        <f t="shared" si="6"/>
        <v>253.80099999999999</v>
      </c>
      <c r="F125" s="8">
        <f t="shared" si="7"/>
        <v>241.72819999999999</v>
      </c>
    </row>
    <row r="126" spans="1:6" x14ac:dyDescent="0.3">
      <c r="A126" s="2">
        <f>Table1[[#This Row],[Date]]</f>
        <v>45951</v>
      </c>
      <c r="B126" s="8">
        <f>Table1[[#This Row],[Price]]</f>
        <v>262.77</v>
      </c>
      <c r="C126" s="4">
        <f t="shared" si="4"/>
        <v>2.0210494203781754E-3</v>
      </c>
      <c r="D126" s="8">
        <f t="shared" si="5"/>
        <v>252.68899999999999</v>
      </c>
      <c r="E126" s="8">
        <f t="shared" si="6"/>
        <v>254.21799999999993</v>
      </c>
      <c r="F126" s="8">
        <f t="shared" si="7"/>
        <v>242.44000000000008</v>
      </c>
    </row>
    <row r="127" spans="1:6" x14ac:dyDescent="0.3">
      <c r="A127" s="2">
        <f>Table1[[#This Row],[Date]]</f>
        <v>45952</v>
      </c>
      <c r="B127" s="8">
        <f>Table1[[#This Row],[Price]]</f>
        <v>258.45</v>
      </c>
      <c r="C127" s="4">
        <f t="shared" si="4"/>
        <v>-1.6440232903299438E-2</v>
      </c>
      <c r="D127" s="8">
        <f t="shared" si="5"/>
        <v>252.72799999999998</v>
      </c>
      <c r="E127" s="8">
        <f t="shared" si="6"/>
        <v>254.52499999999995</v>
      </c>
      <c r="F127" s="8">
        <f t="shared" si="7"/>
        <v>243.01600000000005</v>
      </c>
    </row>
    <row r="128" spans="1:6" x14ac:dyDescent="0.3">
      <c r="A128" s="2">
        <f>Table1[[#This Row],[Date]]</f>
        <v>45953</v>
      </c>
      <c r="B128" s="8">
        <f>Table1[[#This Row],[Price]]</f>
        <v>259.58</v>
      </c>
      <c r="C128" s="4">
        <f t="shared" si="4"/>
        <v>4.3722189978719116E-3</v>
      </c>
      <c r="D128" s="8">
        <f t="shared" si="5"/>
        <v>253.28199999999998</v>
      </c>
      <c r="E128" s="8">
        <f t="shared" si="6"/>
        <v>254.66050000000001</v>
      </c>
      <c r="F128" s="8">
        <f t="shared" si="7"/>
        <v>243.54100000000005</v>
      </c>
    </row>
    <row r="129" spans="1:6" x14ac:dyDescent="0.3">
      <c r="A129" s="2">
        <f>Table1[[#This Row],[Date]]</f>
        <v>45954</v>
      </c>
      <c r="B129" s="8">
        <f>Table1[[#This Row],[Price]]</f>
        <v>262.82</v>
      </c>
      <c r="C129" s="4">
        <f t="shared" si="4"/>
        <v>1.2481701209646388E-2</v>
      </c>
      <c r="D129" s="8">
        <f t="shared" si="5"/>
        <v>255.03700000000003</v>
      </c>
      <c r="E129" s="8">
        <f t="shared" si="6"/>
        <v>255.02849999999995</v>
      </c>
      <c r="F129" s="8">
        <f t="shared" si="7"/>
        <v>244.14180000000007</v>
      </c>
    </row>
    <row r="130" spans="1:6" x14ac:dyDescent="0.3">
      <c r="A130" s="2">
        <f>Table1[[#This Row],[Date]]</f>
        <v>45957</v>
      </c>
      <c r="B130" s="8">
        <f>Table1[[#This Row],[Price]]</f>
        <v>268.81</v>
      </c>
      <c r="C130" s="4">
        <f t="shared" si="4"/>
        <v>2.2791263982954148E-2</v>
      </c>
      <c r="D130" s="8">
        <f t="shared" si="5"/>
        <v>257.15199999999999</v>
      </c>
      <c r="E130" s="8">
        <f t="shared" si="6"/>
        <v>255.7475</v>
      </c>
      <c r="F130" s="8">
        <f t="shared" si="7"/>
        <v>244.88620000000006</v>
      </c>
    </row>
    <row r="131" spans="1:6" x14ac:dyDescent="0.3">
      <c r="A131" s="2">
        <f>Table1[[#This Row],[Date]]</f>
        <v>45958</v>
      </c>
      <c r="B131" s="8">
        <f>Table1[[#This Row],[Price]]</f>
        <v>269</v>
      </c>
      <c r="C131" s="4">
        <f t="shared" si="4"/>
        <v>7.0681894274765718E-4</v>
      </c>
      <c r="D131" s="8">
        <f t="shared" si="5"/>
        <v>259.27499999999998</v>
      </c>
      <c r="E131" s="8">
        <f t="shared" si="6"/>
        <v>256.46600000000001</v>
      </c>
      <c r="F131" s="8">
        <f t="shared" si="7"/>
        <v>245.64840000000007</v>
      </c>
    </row>
    <row r="132" spans="1:6" x14ac:dyDescent="0.3">
      <c r="A132" s="2">
        <f>Table1[[#This Row],[Date]]</f>
        <v>45959</v>
      </c>
      <c r="B132" s="8">
        <f>Table1[[#This Row],[Price]]</f>
        <v>269.7</v>
      </c>
      <c r="C132" s="4">
        <f t="shared" ref="C132:C195" si="8">(B132-B131)/B131</f>
        <v>2.6022304832713332E-3</v>
      </c>
      <c r="D132" s="8">
        <f t="shared" si="5"/>
        <v>261.31099999999998</v>
      </c>
      <c r="E132" s="8">
        <f t="shared" si="6"/>
        <v>257.17849999999999</v>
      </c>
      <c r="F132" s="8">
        <f t="shared" si="7"/>
        <v>246.4312000000001</v>
      </c>
    </row>
    <row r="133" spans="1:6" x14ac:dyDescent="0.3">
      <c r="A133" s="2">
        <f>Table1[[#This Row],[Date]]</f>
        <v>45960</v>
      </c>
      <c r="B133" s="8">
        <f>Table1[[#This Row],[Price]]</f>
        <v>271.39999999999998</v>
      </c>
      <c r="C133" s="4">
        <f t="shared" si="8"/>
        <v>6.3032999629217233E-3</v>
      </c>
      <c r="D133" s="8">
        <f t="shared" si="5"/>
        <v>263.70600000000002</v>
      </c>
      <c r="E133" s="8">
        <f t="shared" si="6"/>
        <v>257.89199999999994</v>
      </c>
      <c r="F133" s="8">
        <f t="shared" si="7"/>
        <v>247.33900000000008</v>
      </c>
    </row>
    <row r="134" spans="1:6" x14ac:dyDescent="0.3">
      <c r="A134" s="2">
        <f>Table1[[#This Row],[Date]]</f>
        <v>45961</v>
      </c>
      <c r="B134" s="8">
        <f>Table1[[#This Row],[Price]]</f>
        <v>270.37</v>
      </c>
      <c r="C134" s="4">
        <f t="shared" si="8"/>
        <v>-3.7951363301399147E-3</v>
      </c>
      <c r="D134" s="8">
        <f t="shared" si="5"/>
        <v>265.51400000000001</v>
      </c>
      <c r="E134" s="8">
        <f t="shared" si="6"/>
        <v>258.50949999999995</v>
      </c>
      <c r="F134" s="8">
        <f t="shared" si="7"/>
        <v>248.24840000000012</v>
      </c>
    </row>
    <row r="135" spans="1:6" x14ac:dyDescent="0.3">
      <c r="A135" s="2">
        <f>Table1[[#This Row],[Date]]</f>
        <v>45964</v>
      </c>
      <c r="B135" s="8">
        <f>Table1[[#This Row],[Price]]</f>
        <v>269.05</v>
      </c>
      <c r="C135" s="4">
        <f t="shared" si="8"/>
        <v>-4.8821984687650007E-3</v>
      </c>
      <c r="D135" s="8">
        <f t="shared" si="5"/>
        <v>266.19499999999999</v>
      </c>
      <c r="E135" s="8">
        <f t="shared" si="6"/>
        <v>259.1275</v>
      </c>
      <c r="F135" s="8">
        <f t="shared" si="7"/>
        <v>249.0742000000001</v>
      </c>
    </row>
    <row r="136" spans="1:6" x14ac:dyDescent="0.3">
      <c r="A136" s="2">
        <f>Table1[[#This Row],[Date]]</f>
        <v>45965</v>
      </c>
      <c r="B136" s="8">
        <f>Table1[[#This Row],[Price]]</f>
        <v>270.04000000000002</v>
      </c>
      <c r="C136" s="4">
        <f t="shared" si="8"/>
        <v>3.6796134547482217E-3</v>
      </c>
      <c r="D136" s="8">
        <f t="shared" si="5"/>
        <v>266.92199999999997</v>
      </c>
      <c r="E136" s="8">
        <f t="shared" si="6"/>
        <v>259.80549999999999</v>
      </c>
      <c r="F136" s="8">
        <f t="shared" si="7"/>
        <v>249.93180000000012</v>
      </c>
    </row>
    <row r="137" spans="1:6" x14ac:dyDescent="0.3">
      <c r="A137" s="2">
        <f>Table1[[#This Row],[Date]]</f>
        <v>45966</v>
      </c>
      <c r="B137" s="8">
        <f>Table1[[#This Row],[Price]]</f>
        <v>270.14</v>
      </c>
      <c r="C137" s="4">
        <f t="shared" si="8"/>
        <v>3.7031550881338278E-4</v>
      </c>
      <c r="D137" s="8">
        <f t="shared" si="5"/>
        <v>268.09100000000001</v>
      </c>
      <c r="E137" s="8">
        <f t="shared" si="6"/>
        <v>260.40949999999998</v>
      </c>
      <c r="F137" s="8">
        <f t="shared" si="7"/>
        <v>250.74840000000012</v>
      </c>
    </row>
    <row r="138" spans="1:6" x14ac:dyDescent="0.3">
      <c r="A138" s="2">
        <f>Table1[[#This Row],[Date]]</f>
        <v>45967</v>
      </c>
      <c r="B138" s="8">
        <f>Table1[[#This Row],[Price]]</f>
        <v>269.77</v>
      </c>
      <c r="C138" s="4">
        <f t="shared" si="8"/>
        <v>-1.3696601762049477E-3</v>
      </c>
      <c r="D138" s="8">
        <f t="shared" si="5"/>
        <v>269.11</v>
      </c>
      <c r="E138" s="8">
        <f t="shared" si="6"/>
        <v>261.19600000000003</v>
      </c>
      <c r="F138" s="8">
        <f t="shared" si="7"/>
        <v>251.53400000000013</v>
      </c>
    </row>
    <row r="139" spans="1:6" x14ac:dyDescent="0.3">
      <c r="A139" s="2">
        <f>Table1[[#This Row],[Date]]</f>
        <v>45968</v>
      </c>
      <c r="B139" s="8">
        <f>Table1[[#This Row],[Price]]</f>
        <v>268.47000000000003</v>
      </c>
      <c r="C139" s="4">
        <f t="shared" si="8"/>
        <v>-4.8189198205877398E-3</v>
      </c>
      <c r="D139" s="8">
        <f t="shared" si="5"/>
        <v>269.67500000000001</v>
      </c>
      <c r="E139" s="8">
        <f t="shared" si="6"/>
        <v>262.35599999999999</v>
      </c>
      <c r="F139" s="8">
        <f t="shared" si="7"/>
        <v>252.25220000000007</v>
      </c>
    </row>
    <row r="140" spans="1:6" x14ac:dyDescent="0.3">
      <c r="A140" s="2">
        <f>Table1[[#This Row],[Date]]</f>
        <v>45971</v>
      </c>
      <c r="B140" s="8">
        <f>Table1[[#This Row],[Price]]</f>
        <v>269.43</v>
      </c>
      <c r="C140" s="4">
        <f t="shared" si="8"/>
        <v>3.5758185272096676E-3</v>
      </c>
      <c r="D140" s="8">
        <f t="shared" ref="D140:D203" si="9">AVERAGE(B131:B140)</f>
        <v>269.73699999999997</v>
      </c>
      <c r="E140" s="8">
        <f t="shared" si="6"/>
        <v>263.44450000000001</v>
      </c>
      <c r="F140" s="8">
        <f t="shared" si="7"/>
        <v>252.99800000000002</v>
      </c>
    </row>
    <row r="141" spans="1:6" x14ac:dyDescent="0.3">
      <c r="A141" s="2">
        <f>Table1[[#This Row],[Date]]</f>
        <v>45972</v>
      </c>
      <c r="B141" s="8">
        <f>Table1[[#This Row],[Price]]</f>
        <v>275.25</v>
      </c>
      <c r="C141" s="4">
        <f t="shared" si="8"/>
        <v>2.1601158000222668E-2</v>
      </c>
      <c r="D141" s="8">
        <f t="shared" si="9"/>
        <v>270.36199999999997</v>
      </c>
      <c r="E141" s="8">
        <f t="shared" si="6"/>
        <v>264.81849999999997</v>
      </c>
      <c r="F141" s="8">
        <f t="shared" si="7"/>
        <v>253.90860000000004</v>
      </c>
    </row>
    <row r="142" spans="1:6" x14ac:dyDescent="0.3">
      <c r="A142" s="2">
        <f>Table1[[#This Row],[Date]]</f>
        <v>45973</v>
      </c>
      <c r="B142" s="8">
        <f>Table1[[#This Row],[Price]]</f>
        <v>273.47000000000003</v>
      </c>
      <c r="C142" s="4">
        <f t="shared" si="8"/>
        <v>-6.4668483197092563E-3</v>
      </c>
      <c r="D142" s="8">
        <f t="shared" si="9"/>
        <v>270.73900000000003</v>
      </c>
      <c r="E142" s="8">
        <f t="shared" si="6"/>
        <v>266.02499999999998</v>
      </c>
      <c r="F142" s="8">
        <f t="shared" si="7"/>
        <v>254.60860000000005</v>
      </c>
    </row>
    <row r="143" spans="1:6" x14ac:dyDescent="0.3">
      <c r="A143" s="2">
        <f>Table1[[#This Row],[Date]]</f>
        <v>45974</v>
      </c>
      <c r="B143" s="8">
        <f>Table1[[#This Row],[Price]]</f>
        <v>272.95</v>
      </c>
      <c r="C143" s="4">
        <f t="shared" si="8"/>
        <v>-1.9014882802502601E-3</v>
      </c>
      <c r="D143" s="8">
        <f t="shared" si="9"/>
        <v>270.89399999999995</v>
      </c>
      <c r="E143" s="8">
        <f t="shared" si="6"/>
        <v>267.3</v>
      </c>
      <c r="F143" s="8">
        <f t="shared" si="7"/>
        <v>255.27200000000005</v>
      </c>
    </row>
    <row r="144" spans="1:6" x14ac:dyDescent="0.3">
      <c r="A144" s="2">
        <f>Table1[[#This Row],[Date]]</f>
        <v>45975</v>
      </c>
      <c r="B144" s="8">
        <f>Table1[[#This Row],[Price]]</f>
        <v>272.41000000000003</v>
      </c>
      <c r="C144" s="4">
        <f t="shared" si="8"/>
        <v>-1.9783843194722977E-3</v>
      </c>
      <c r="D144" s="8">
        <f t="shared" si="9"/>
        <v>271.09799999999996</v>
      </c>
      <c r="E144" s="8">
        <f t="shared" si="6"/>
        <v>268.30599999999998</v>
      </c>
      <c r="F144" s="8">
        <f t="shared" si="7"/>
        <v>255.92640000000003</v>
      </c>
    </row>
    <row r="145" spans="1:6" x14ac:dyDescent="0.3">
      <c r="A145" s="2">
        <f>Table1[[#This Row],[Date]]</f>
        <v>45978</v>
      </c>
      <c r="B145" s="8">
        <f>Table1[[#This Row],[Price]]</f>
        <v>267.45999999999998</v>
      </c>
      <c r="C145" s="4">
        <f t="shared" si="8"/>
        <v>-1.8171139091810305E-2</v>
      </c>
      <c r="D145" s="8">
        <f t="shared" si="9"/>
        <v>270.93899999999996</v>
      </c>
      <c r="E145" s="8">
        <f t="shared" si="6"/>
        <v>268.56699999999995</v>
      </c>
      <c r="F145" s="8">
        <f t="shared" si="7"/>
        <v>256.51800000000003</v>
      </c>
    </row>
    <row r="146" spans="1:6" x14ac:dyDescent="0.3">
      <c r="A146" s="2">
        <f>Table1[[#This Row],[Date]]</f>
        <v>45979</v>
      </c>
      <c r="B146" s="8">
        <f>Table1[[#This Row],[Price]]</f>
        <v>267.44</v>
      </c>
      <c r="C146" s="4">
        <f t="shared" si="8"/>
        <v>-7.477753682786888E-5</v>
      </c>
      <c r="D146" s="8">
        <f t="shared" si="9"/>
        <v>270.67899999999997</v>
      </c>
      <c r="E146" s="8">
        <f t="shared" si="6"/>
        <v>268.80049999999994</v>
      </c>
      <c r="F146" s="8">
        <f t="shared" si="7"/>
        <v>257.17980000000006</v>
      </c>
    </row>
    <row r="147" spans="1:6" x14ac:dyDescent="0.3">
      <c r="A147" s="2">
        <f>Table1[[#This Row],[Date]]</f>
        <v>45980</v>
      </c>
      <c r="B147" s="8">
        <f>Table1[[#This Row],[Price]]</f>
        <v>268.56</v>
      </c>
      <c r="C147" s="4">
        <f t="shared" si="8"/>
        <v>4.1878552198624163E-3</v>
      </c>
      <c r="D147" s="8">
        <f t="shared" si="9"/>
        <v>270.52100000000002</v>
      </c>
      <c r="E147" s="8">
        <f t="shared" si="6"/>
        <v>269.30599999999993</v>
      </c>
      <c r="F147" s="8">
        <f t="shared" si="7"/>
        <v>258.01519999999999</v>
      </c>
    </row>
    <row r="148" spans="1:6" x14ac:dyDescent="0.3">
      <c r="A148" s="2">
        <f>Table1[[#This Row],[Date]]</f>
        <v>45981</v>
      </c>
      <c r="B148" s="8">
        <f>Table1[[#This Row],[Price]]</f>
        <v>266.25</v>
      </c>
      <c r="C148" s="4">
        <f t="shared" si="8"/>
        <v>-8.6014298480786497E-3</v>
      </c>
      <c r="D148" s="8">
        <f t="shared" si="9"/>
        <v>270.16899999999998</v>
      </c>
      <c r="E148" s="8">
        <f t="shared" si="6"/>
        <v>269.63949999999994</v>
      </c>
      <c r="F148" s="8">
        <f t="shared" si="7"/>
        <v>258.73960000000005</v>
      </c>
    </row>
    <row r="149" spans="1:6" x14ac:dyDescent="0.3">
      <c r="A149" s="2">
        <f>Table1[[#This Row],[Date]]</f>
        <v>45982</v>
      </c>
      <c r="B149" s="8">
        <f>Table1[[#This Row],[Price]]</f>
        <v>271.49</v>
      </c>
      <c r="C149" s="4">
        <f t="shared" si="8"/>
        <v>1.9680751173708953E-2</v>
      </c>
      <c r="D149" s="8">
        <f t="shared" si="9"/>
        <v>270.471</v>
      </c>
      <c r="E149" s="8">
        <f t="shared" si="6"/>
        <v>270.07299999999998</v>
      </c>
      <c r="F149" s="8">
        <f t="shared" si="7"/>
        <v>259.488</v>
      </c>
    </row>
    <row r="150" spans="1:6" x14ac:dyDescent="0.3">
      <c r="A150" s="2">
        <f>Table1[[#This Row],[Date]]</f>
        <v>45985</v>
      </c>
      <c r="B150" s="8">
        <f>Table1[[#This Row],[Price]]</f>
        <v>275.92</v>
      </c>
      <c r="C150" s="4">
        <f t="shared" si="8"/>
        <v>1.6317359755423796E-2</v>
      </c>
      <c r="D150" s="8">
        <f t="shared" si="9"/>
        <v>271.12</v>
      </c>
      <c r="E150" s="8">
        <f t="shared" ref="E150:E213" si="10">AVERAGE(B131:B150)</f>
        <v>270.42849999999993</v>
      </c>
      <c r="F150" s="8">
        <f t="shared" si="7"/>
        <v>260.2724</v>
      </c>
    </row>
    <row r="151" spans="1:6" x14ac:dyDescent="0.3">
      <c r="A151" s="2">
        <f>Table1[[#This Row],[Date]]</f>
        <v>45986</v>
      </c>
      <c r="B151" s="8">
        <f>Table1[[#This Row],[Price]]</f>
        <v>276.97000000000003</v>
      </c>
      <c r="C151" s="4">
        <f t="shared" si="8"/>
        <v>3.8054508553204236E-3</v>
      </c>
      <c r="D151" s="8">
        <f t="shared" si="9"/>
        <v>271.29200000000003</v>
      </c>
      <c r="E151" s="8">
        <f t="shared" si="10"/>
        <v>270.82699999999994</v>
      </c>
      <c r="F151" s="8">
        <f t="shared" si="7"/>
        <v>261.04879999999991</v>
      </c>
    </row>
    <row r="152" spans="1:6" x14ac:dyDescent="0.3">
      <c r="A152" s="2">
        <f>Table1[[#This Row],[Date]]</f>
        <v>45987</v>
      </c>
      <c r="B152" s="8">
        <f>Table1[[#This Row],[Price]]</f>
        <v>277.55</v>
      </c>
      <c r="C152" s="4">
        <f t="shared" si="8"/>
        <v>2.094089612593364E-3</v>
      </c>
      <c r="D152" s="8">
        <f t="shared" si="9"/>
        <v>271.7</v>
      </c>
      <c r="E152" s="8">
        <f t="shared" si="10"/>
        <v>271.21950000000004</v>
      </c>
      <c r="F152" s="8">
        <f t="shared" si="7"/>
        <v>261.81999999999994</v>
      </c>
    </row>
    <row r="153" spans="1:6" x14ac:dyDescent="0.3">
      <c r="A153" s="2">
        <f>Table1[[#This Row],[Date]]</f>
        <v>45989</v>
      </c>
      <c r="B153" s="8">
        <f>Table1[[#This Row],[Price]]</f>
        <v>278.85000000000002</v>
      </c>
      <c r="C153" s="4">
        <f t="shared" si="8"/>
        <v>4.6838407494145607E-3</v>
      </c>
      <c r="D153" s="8">
        <f t="shared" si="9"/>
        <v>272.29000000000002</v>
      </c>
      <c r="E153" s="8">
        <f t="shared" si="10"/>
        <v>271.59199999999998</v>
      </c>
      <c r="F153" s="8">
        <f t="shared" si="7"/>
        <v>262.63939999999997</v>
      </c>
    </row>
    <row r="154" spans="1:6" x14ac:dyDescent="0.3">
      <c r="A154" s="2">
        <f>Table1[[#This Row],[Date]]</f>
        <v>45992</v>
      </c>
      <c r="B154" s="8">
        <f>Table1[[#This Row],[Price]]</f>
        <v>283.10000000000002</v>
      </c>
      <c r="C154" s="4">
        <f t="shared" si="8"/>
        <v>1.5241169087322932E-2</v>
      </c>
      <c r="D154" s="8">
        <f t="shared" si="9"/>
        <v>273.35900000000004</v>
      </c>
      <c r="E154" s="8">
        <f t="shared" si="10"/>
        <v>272.22850000000005</v>
      </c>
      <c r="F154" s="8">
        <f t="shared" si="7"/>
        <v>263.39139999999992</v>
      </c>
    </row>
    <row r="155" spans="1:6" x14ac:dyDescent="0.3">
      <c r="A155" s="2">
        <f>Table1[[#This Row],[Date]]</f>
        <v>45993</v>
      </c>
      <c r="B155" s="8">
        <f>Table1[[#This Row],[Price]]</f>
        <v>286.19</v>
      </c>
      <c r="C155" s="4">
        <f t="shared" si="8"/>
        <v>1.0914871070293094E-2</v>
      </c>
      <c r="D155" s="8">
        <f t="shared" si="9"/>
        <v>275.23200000000003</v>
      </c>
      <c r="E155" s="8">
        <f t="shared" si="10"/>
        <v>273.08550000000002</v>
      </c>
      <c r="F155" s="8">
        <f t="shared" si="7"/>
        <v>263.99359999999996</v>
      </c>
    </row>
    <row r="156" spans="1:6" x14ac:dyDescent="0.3">
      <c r="A156" s="2">
        <f>Table1[[#This Row],[Date]]</f>
        <v>45994</v>
      </c>
      <c r="B156" s="8">
        <f>Table1[[#This Row],[Price]]</f>
        <v>284.14999999999998</v>
      </c>
      <c r="C156" s="4">
        <f t="shared" si="8"/>
        <v>-7.1281316607848645E-3</v>
      </c>
      <c r="D156" s="8">
        <f t="shared" si="9"/>
        <v>276.90300000000002</v>
      </c>
      <c r="E156" s="8">
        <f t="shared" si="10"/>
        <v>273.79100000000005</v>
      </c>
      <c r="F156" s="8">
        <f t="shared" si="7"/>
        <v>264.58799999999991</v>
      </c>
    </row>
    <row r="157" spans="1:6" x14ac:dyDescent="0.3">
      <c r="A157" s="2">
        <f>Table1[[#This Row],[Date]]</f>
        <v>45995</v>
      </c>
      <c r="B157" s="8">
        <f>Table1[[#This Row],[Price]]</f>
        <v>280.7</v>
      </c>
      <c r="C157" s="4">
        <f t="shared" si="8"/>
        <v>-1.2141474573288716E-2</v>
      </c>
      <c r="D157" s="8">
        <f t="shared" si="9"/>
        <v>278.11700000000002</v>
      </c>
      <c r="E157" s="8">
        <f t="shared" si="10"/>
        <v>274.31900000000002</v>
      </c>
      <c r="F157" s="8">
        <f t="shared" si="7"/>
        <v>265.15579999999994</v>
      </c>
    </row>
    <row r="158" spans="1:6" x14ac:dyDescent="0.3">
      <c r="A158" s="2">
        <f>Table1[[#This Row],[Date]]</f>
        <v>45996</v>
      </c>
      <c r="B158" s="8">
        <f>Table1[[#This Row],[Price]]</f>
        <v>278.77999999999997</v>
      </c>
      <c r="C158" s="4">
        <f t="shared" si="8"/>
        <v>-6.8400427502672461E-3</v>
      </c>
      <c r="D158" s="8">
        <f t="shared" si="9"/>
        <v>279.37</v>
      </c>
      <c r="E158" s="8">
        <f t="shared" si="10"/>
        <v>274.76949999999999</v>
      </c>
      <c r="F158" s="8">
        <f t="shared" si="7"/>
        <v>265.59399999999999</v>
      </c>
    </row>
    <row r="159" spans="1:6" x14ac:dyDescent="0.3">
      <c r="A159" s="2">
        <f>Table1[[#This Row],[Date]]</f>
        <v>45999</v>
      </c>
      <c r="B159" s="8">
        <f>Table1[[#This Row],[Price]]</f>
        <v>277.89</v>
      </c>
      <c r="C159" s="4">
        <f t="shared" si="8"/>
        <v>-3.1924815266517917E-3</v>
      </c>
      <c r="D159" s="8">
        <f t="shared" si="9"/>
        <v>280.01</v>
      </c>
      <c r="E159" s="8">
        <f t="shared" si="10"/>
        <v>275.2405</v>
      </c>
      <c r="F159" s="8">
        <f t="shared" si="7"/>
        <v>266.04259999999999</v>
      </c>
    </row>
    <row r="160" spans="1:6" x14ac:dyDescent="0.3">
      <c r="A160" s="2">
        <f>Table1[[#This Row],[Date]]</f>
        <v>46000</v>
      </c>
      <c r="B160" s="8">
        <f>Table1[[#This Row],[Price]]</f>
        <v>277.18</v>
      </c>
      <c r="C160" s="4">
        <f t="shared" si="8"/>
        <v>-2.5549677930115497E-3</v>
      </c>
      <c r="D160" s="8">
        <f t="shared" si="9"/>
        <v>280.13599999999997</v>
      </c>
      <c r="E160" s="8">
        <f t="shared" si="10"/>
        <v>275.62799999999999</v>
      </c>
      <c r="F160" s="8">
        <f t="shared" si="7"/>
        <v>266.49760000000003</v>
      </c>
    </row>
    <row r="161" spans="1:6" x14ac:dyDescent="0.3">
      <c r="A161" s="2">
        <f>Table1[[#This Row],[Date]]</f>
        <v>46001</v>
      </c>
      <c r="B161" s="8">
        <f>Table1[[#This Row],[Price]]</f>
        <v>278.77999999999997</v>
      </c>
      <c r="C161" s="4">
        <f t="shared" si="8"/>
        <v>5.7724222526876609E-3</v>
      </c>
      <c r="D161" s="8">
        <f t="shared" si="9"/>
        <v>280.31700000000001</v>
      </c>
      <c r="E161" s="8">
        <f t="shared" si="10"/>
        <v>275.80450000000002</v>
      </c>
      <c r="F161" s="8">
        <f t="shared" si="7"/>
        <v>266.98060000000004</v>
      </c>
    </row>
    <row r="162" spans="1:6" x14ac:dyDescent="0.3">
      <c r="A162" s="2">
        <f>Table1[[#This Row],[Date]]</f>
        <v>46002</v>
      </c>
      <c r="B162" s="8">
        <f>Table1[[#This Row],[Price]]</f>
        <v>278.02999999999997</v>
      </c>
      <c r="C162" s="4">
        <f t="shared" si="8"/>
        <v>-2.6902934213358207E-3</v>
      </c>
      <c r="D162" s="8">
        <f t="shared" si="9"/>
        <v>280.36499999999995</v>
      </c>
      <c r="E162" s="8">
        <f t="shared" si="10"/>
        <v>276.03249999999997</v>
      </c>
      <c r="F162" s="8">
        <f t="shared" si="7"/>
        <v>267.43220000000002</v>
      </c>
    </row>
    <row r="163" spans="1:6" x14ac:dyDescent="0.3">
      <c r="A163" s="2">
        <f>Table1[[#This Row],[Date]]</f>
        <v>46003</v>
      </c>
      <c r="B163" s="8">
        <f>Table1[[#This Row],[Price]]</f>
        <v>278.27999999999997</v>
      </c>
      <c r="C163" s="4">
        <f t="shared" si="8"/>
        <v>8.9918354134445929E-4</v>
      </c>
      <c r="D163" s="8">
        <f t="shared" si="9"/>
        <v>280.30799999999999</v>
      </c>
      <c r="E163" s="8">
        <f t="shared" si="10"/>
        <v>276.29899999999998</v>
      </c>
      <c r="F163" s="8">
        <f t="shared" si="7"/>
        <v>267.85520000000002</v>
      </c>
    </row>
    <row r="164" spans="1:6" x14ac:dyDescent="0.3">
      <c r="A164" s="2">
        <f>Table1[[#This Row],[Date]]</f>
        <v>46006</v>
      </c>
      <c r="B164" s="8">
        <f>Table1[[#This Row],[Price]]</f>
        <v>274.11</v>
      </c>
      <c r="C164" s="4">
        <f t="shared" si="8"/>
        <v>-1.498490728762383E-2</v>
      </c>
      <c r="D164" s="8">
        <f t="shared" si="9"/>
        <v>279.40899999999999</v>
      </c>
      <c r="E164" s="8">
        <f t="shared" si="10"/>
        <v>276.38399999999996</v>
      </c>
      <c r="F164" s="8">
        <f t="shared" si="7"/>
        <v>268.17700000000002</v>
      </c>
    </row>
    <row r="165" spans="1:6" x14ac:dyDescent="0.3">
      <c r="A165" s="2">
        <f>Table1[[#This Row],[Date]]</f>
        <v>46007</v>
      </c>
      <c r="B165" s="8">
        <f>Table1[[#This Row],[Price]]</f>
        <v>274.61</v>
      </c>
      <c r="C165" s="4">
        <f t="shared" si="8"/>
        <v>1.8240852212615373E-3</v>
      </c>
      <c r="D165" s="8">
        <f t="shared" si="9"/>
        <v>278.25100000000003</v>
      </c>
      <c r="E165" s="8">
        <f t="shared" si="10"/>
        <v>276.74149999999992</v>
      </c>
      <c r="F165" s="8">
        <f t="shared" si="7"/>
        <v>268.5354000000001</v>
      </c>
    </row>
    <row r="166" spans="1:6" x14ac:dyDescent="0.3">
      <c r="A166" s="2">
        <f>Table1[[#This Row],[Date]]</f>
        <v>46008</v>
      </c>
      <c r="B166" s="8">
        <f>Table1[[#This Row],[Price]]</f>
        <v>271.83999999999997</v>
      </c>
      <c r="C166" s="4">
        <f t="shared" si="8"/>
        <v>-1.0087032518845048E-2</v>
      </c>
      <c r="D166" s="8">
        <f t="shared" si="9"/>
        <v>277.02000000000004</v>
      </c>
      <c r="E166" s="8">
        <f t="shared" si="10"/>
        <v>276.96149999999994</v>
      </c>
      <c r="F166" s="8">
        <f t="shared" si="7"/>
        <v>268.84260000000012</v>
      </c>
    </row>
    <row r="167" spans="1:6" x14ac:dyDescent="0.3">
      <c r="A167" s="2">
        <f>Table1[[#This Row],[Date]]</f>
        <v>46009</v>
      </c>
      <c r="B167" s="8">
        <f>Table1[[#This Row],[Price]]</f>
        <v>272.19</v>
      </c>
      <c r="C167" s="4">
        <f t="shared" si="8"/>
        <v>1.287522071807029E-3</v>
      </c>
      <c r="D167" s="8">
        <f t="shared" si="9"/>
        <v>276.16899999999998</v>
      </c>
      <c r="E167" s="8">
        <f t="shared" si="10"/>
        <v>277.14299999999992</v>
      </c>
      <c r="F167" s="8">
        <f t="shared" si="7"/>
        <v>269.12520000000006</v>
      </c>
    </row>
    <row r="168" spans="1:6" x14ac:dyDescent="0.3">
      <c r="A168" s="2">
        <f>Table1[[#This Row],[Date]]</f>
        <v>46010</v>
      </c>
      <c r="B168" s="8">
        <f>Table1[[#This Row],[Price]]</f>
        <v>273.67</v>
      </c>
      <c r="C168" s="4">
        <f t="shared" si="8"/>
        <v>5.4373783019215187E-3</v>
      </c>
      <c r="D168" s="8">
        <f t="shared" si="9"/>
        <v>275.65800000000002</v>
      </c>
      <c r="E168" s="8">
        <f t="shared" si="10"/>
        <v>277.5139999999999</v>
      </c>
      <c r="F168" s="8">
        <f t="shared" si="7"/>
        <v>269.51780000000008</v>
      </c>
    </row>
    <row r="169" spans="1:6" x14ac:dyDescent="0.3">
      <c r="A169" s="2">
        <f>Table1[[#This Row],[Date]]</f>
        <v>46013</v>
      </c>
      <c r="B169" s="8">
        <f>Table1[[#This Row],[Price]]</f>
        <v>270.97000000000003</v>
      </c>
      <c r="C169" s="4">
        <f t="shared" si="8"/>
        <v>-9.8658968831073501E-3</v>
      </c>
      <c r="D169" s="8">
        <f t="shared" si="9"/>
        <v>274.96600000000001</v>
      </c>
      <c r="E169" s="8">
        <f t="shared" si="10"/>
        <v>277.48799999999994</v>
      </c>
      <c r="F169" s="8">
        <f t="shared" si="7"/>
        <v>270.03180000000009</v>
      </c>
    </row>
    <row r="170" spans="1:6" x14ac:dyDescent="0.3">
      <c r="A170" s="2">
        <f>Table1[[#This Row],[Date]]</f>
        <v>46014</v>
      </c>
      <c r="B170" s="8">
        <f>Table1[[#This Row],[Price]]</f>
        <v>272.36</v>
      </c>
      <c r="C170" s="4">
        <f t="shared" si="8"/>
        <v>5.129719157102211E-3</v>
      </c>
      <c r="D170" s="8">
        <f t="shared" si="9"/>
        <v>274.48399999999998</v>
      </c>
      <c r="E170" s="8">
        <f t="shared" si="10"/>
        <v>277.30999999999995</v>
      </c>
      <c r="F170" s="8">
        <f t="shared" si="7"/>
        <v>270.52580000000012</v>
      </c>
    </row>
    <row r="171" spans="1:6" x14ac:dyDescent="0.3">
      <c r="A171" s="2">
        <f>Table1[[#This Row],[Date]]</f>
        <v>46015</v>
      </c>
      <c r="B171" s="8">
        <f>Table1[[#This Row],[Price]]</f>
        <v>273.81</v>
      </c>
      <c r="C171" s="4">
        <f t="shared" si="8"/>
        <v>5.323836099280322E-3</v>
      </c>
      <c r="D171" s="8">
        <f t="shared" si="9"/>
        <v>273.98699999999997</v>
      </c>
      <c r="E171" s="8">
        <f t="shared" si="10"/>
        <v>277.15199999999999</v>
      </c>
      <c r="F171" s="8">
        <f t="shared" si="7"/>
        <v>271.04660000000013</v>
      </c>
    </row>
    <row r="172" spans="1:6" x14ac:dyDescent="0.3">
      <c r="A172" s="2">
        <f>Table1[[#This Row],[Date]]</f>
        <v>46017</v>
      </c>
      <c r="B172" s="8">
        <f>Table1[[#This Row],[Price]]</f>
        <v>273.39999999999998</v>
      </c>
      <c r="C172" s="4">
        <f t="shared" si="8"/>
        <v>-1.4973887001936562E-3</v>
      </c>
      <c r="D172" s="8">
        <f t="shared" si="9"/>
        <v>273.524</v>
      </c>
      <c r="E172" s="8">
        <f t="shared" si="10"/>
        <v>276.94449999999995</v>
      </c>
      <c r="F172" s="8">
        <f t="shared" si="7"/>
        <v>271.52780000000007</v>
      </c>
    </row>
    <row r="173" spans="1:6" x14ac:dyDescent="0.3">
      <c r="A173" s="2">
        <f>Table1[[#This Row],[Date]]</f>
        <v>46020</v>
      </c>
      <c r="B173" s="8">
        <f>Table1[[#This Row],[Price]]</f>
        <v>273.76</v>
      </c>
      <c r="C173" s="4">
        <f t="shared" si="8"/>
        <v>1.3167520117045124E-3</v>
      </c>
      <c r="D173" s="8">
        <f t="shared" si="9"/>
        <v>273.072</v>
      </c>
      <c r="E173" s="8">
        <f t="shared" si="10"/>
        <v>276.69</v>
      </c>
      <c r="F173" s="8">
        <f t="shared" si="7"/>
        <v>272.05400000000009</v>
      </c>
    </row>
    <row r="174" spans="1:6" x14ac:dyDescent="0.3">
      <c r="A174" s="2">
        <f>Table1[[#This Row],[Date]]</f>
        <v>46021</v>
      </c>
      <c r="B174" s="8">
        <f>Table1[[#This Row],[Price]]</f>
        <v>273.08</v>
      </c>
      <c r="C174" s="4">
        <f t="shared" si="8"/>
        <v>-2.4839275277615679E-3</v>
      </c>
      <c r="D174" s="8">
        <f t="shared" si="9"/>
        <v>272.96900000000005</v>
      </c>
      <c r="E174" s="8">
        <f t="shared" si="10"/>
        <v>276.18899999999996</v>
      </c>
      <c r="F174" s="8">
        <f t="shared" si="7"/>
        <v>272.46980000000008</v>
      </c>
    </row>
    <row r="175" spans="1:6" x14ac:dyDescent="0.3">
      <c r="A175" s="2">
        <f>Table1[[#This Row],[Date]]</f>
        <v>46022</v>
      </c>
      <c r="B175" s="8">
        <f>Table1[[#This Row],[Price]]</f>
        <v>271.86</v>
      </c>
      <c r="C175" s="4">
        <f t="shared" si="8"/>
        <v>-4.4675552951514959E-3</v>
      </c>
      <c r="D175" s="8">
        <f t="shared" si="9"/>
        <v>272.69400000000002</v>
      </c>
      <c r="E175" s="8">
        <f t="shared" si="10"/>
        <v>275.47249999999997</v>
      </c>
      <c r="F175" s="8">
        <f t="shared" si="7"/>
        <v>272.6622000000001</v>
      </c>
    </row>
    <row r="176" spans="1:6" x14ac:dyDescent="0.3">
      <c r="A176" s="2">
        <f>Table1[[#This Row],[Date]]</f>
        <v>46024</v>
      </c>
      <c r="B176" s="8">
        <f>Table1[[#This Row],[Price]]</f>
        <v>271.01</v>
      </c>
      <c r="C176" s="4">
        <f t="shared" si="8"/>
        <v>-3.1266092841904757E-3</v>
      </c>
      <c r="D176" s="8">
        <f t="shared" si="9"/>
        <v>272.61100000000005</v>
      </c>
      <c r="E176" s="8">
        <f t="shared" si="10"/>
        <v>274.81550000000004</v>
      </c>
      <c r="F176" s="8">
        <f t="shared" si="7"/>
        <v>272.82700000000006</v>
      </c>
    </row>
    <row r="177" spans="1:6" x14ac:dyDescent="0.3">
      <c r="A177" s="2">
        <f>Table1[[#This Row],[Date]]</f>
        <v>46027</v>
      </c>
      <c r="B177" s="8">
        <f>Table1[[#This Row],[Price]]</f>
        <v>267.26</v>
      </c>
      <c r="C177" s="4">
        <f t="shared" si="8"/>
        <v>-1.3837127781262684E-2</v>
      </c>
      <c r="D177" s="8">
        <f t="shared" si="9"/>
        <v>272.11800000000005</v>
      </c>
      <c r="E177" s="8">
        <f t="shared" si="10"/>
        <v>274.14350000000002</v>
      </c>
      <c r="F177" s="8">
        <f t="shared" si="7"/>
        <v>273.00320000000005</v>
      </c>
    </row>
    <row r="178" spans="1:6" x14ac:dyDescent="0.3">
      <c r="A178" s="2">
        <f>Table1[[#This Row],[Date]]</f>
        <v>46028</v>
      </c>
      <c r="B178" s="8">
        <f>Table1[[#This Row],[Price]]</f>
        <v>262.36</v>
      </c>
      <c r="C178" s="4">
        <f t="shared" si="8"/>
        <v>-1.8334206390780428E-2</v>
      </c>
      <c r="D178" s="8">
        <f t="shared" si="9"/>
        <v>270.98700000000002</v>
      </c>
      <c r="E178" s="8">
        <f t="shared" si="10"/>
        <v>273.32249999999999</v>
      </c>
      <c r="F178" s="8">
        <f t="shared" si="7"/>
        <v>273.05880000000008</v>
      </c>
    </row>
    <row r="179" spans="1:6" x14ac:dyDescent="0.3">
      <c r="A179" s="2">
        <f>Table1[[#This Row],[Date]]</f>
        <v>46029</v>
      </c>
      <c r="B179" s="8">
        <f>Table1[[#This Row],[Price]]</f>
        <v>260.33</v>
      </c>
      <c r="C179" s="4">
        <f t="shared" si="8"/>
        <v>-7.7374599786553949E-3</v>
      </c>
      <c r="D179" s="8">
        <f t="shared" si="9"/>
        <v>269.923</v>
      </c>
      <c r="E179" s="8">
        <f t="shared" si="10"/>
        <v>272.44449999999995</v>
      </c>
      <c r="F179" s="8">
        <f t="shared" si="7"/>
        <v>273.00900000000007</v>
      </c>
    </row>
    <row r="180" spans="1:6" x14ac:dyDescent="0.3">
      <c r="A180" s="2">
        <f>Table1[[#This Row],[Date]]</f>
        <v>46030</v>
      </c>
      <c r="B180" s="8">
        <f>Table1[[#This Row],[Price]]</f>
        <v>259.04000000000002</v>
      </c>
      <c r="C180" s="4">
        <f t="shared" si="8"/>
        <v>-4.9552491069026379E-3</v>
      </c>
      <c r="D180" s="8">
        <f t="shared" si="9"/>
        <v>268.59100000000001</v>
      </c>
      <c r="E180" s="8">
        <f t="shared" si="10"/>
        <v>271.53749999999997</v>
      </c>
      <c r="F180" s="8">
        <f t="shared" ref="F180:F243" si="11">AVERAGE(B131:B180)</f>
        <v>272.81360000000006</v>
      </c>
    </row>
    <row r="181" spans="1:6" x14ac:dyDescent="0.3">
      <c r="A181" s="2">
        <f>Table1[[#This Row],[Date]]</f>
        <v>46031</v>
      </c>
      <c r="B181" s="8">
        <f>Table1[[#This Row],[Price]]</f>
        <v>259.37</v>
      </c>
      <c r="C181" s="4">
        <f t="shared" si="8"/>
        <v>1.273934527486041E-3</v>
      </c>
      <c r="D181" s="8">
        <f t="shared" si="9"/>
        <v>267.14699999999999</v>
      </c>
      <c r="E181" s="8">
        <f t="shared" si="10"/>
        <v>270.56699999999995</v>
      </c>
      <c r="F181" s="8">
        <f t="shared" si="11"/>
        <v>272.62100000000009</v>
      </c>
    </row>
    <row r="182" spans="1:6" x14ac:dyDescent="0.3">
      <c r="A182" s="2">
        <f>Table1[[#This Row],[Date]]</f>
        <v>46034</v>
      </c>
      <c r="B182" s="8">
        <f>Table1[[#This Row],[Price]]</f>
        <v>260.25</v>
      </c>
      <c r="C182" s="4">
        <f t="shared" si="8"/>
        <v>3.3928364884142168E-3</v>
      </c>
      <c r="D182" s="8">
        <f t="shared" si="9"/>
        <v>265.83199999999999</v>
      </c>
      <c r="E182" s="8">
        <f t="shared" si="10"/>
        <v>269.678</v>
      </c>
      <c r="F182" s="8">
        <f t="shared" si="11"/>
        <v>272.43200000000013</v>
      </c>
    </row>
    <row r="183" spans="1:6" x14ac:dyDescent="0.3">
      <c r="A183" s="2">
        <f>Table1[[#This Row],[Date]]</f>
        <v>46035</v>
      </c>
      <c r="B183" s="8">
        <f>Table1[[#This Row],[Price]]</f>
        <v>261.05</v>
      </c>
      <c r="C183" s="4">
        <f t="shared" si="8"/>
        <v>3.0739673390970659E-3</v>
      </c>
      <c r="D183" s="8">
        <f t="shared" si="9"/>
        <v>264.56100000000004</v>
      </c>
      <c r="E183" s="8">
        <f t="shared" si="10"/>
        <v>268.81650000000002</v>
      </c>
      <c r="F183" s="8">
        <f t="shared" si="11"/>
        <v>272.22500000000008</v>
      </c>
    </row>
    <row r="184" spans="1:6" x14ac:dyDescent="0.3">
      <c r="A184" s="2">
        <f>Table1[[#This Row],[Date]]</f>
        <v>46036</v>
      </c>
      <c r="B184" s="8">
        <f>Table1[[#This Row],[Price]]</f>
        <v>259.95999999999998</v>
      </c>
      <c r="C184" s="4">
        <f t="shared" si="8"/>
        <v>-4.1754453169892047E-3</v>
      </c>
      <c r="D184" s="8">
        <f t="shared" si="9"/>
        <v>263.24900000000002</v>
      </c>
      <c r="E184" s="8">
        <f t="shared" si="10"/>
        <v>268.10900000000004</v>
      </c>
      <c r="F184" s="8">
        <f t="shared" si="11"/>
        <v>272.01680000000005</v>
      </c>
    </row>
    <row r="185" spans="1:6" x14ac:dyDescent="0.3">
      <c r="A185" s="2">
        <f>Table1[[#This Row],[Date]]</f>
        <v>46037</v>
      </c>
      <c r="B185" s="8">
        <f>Table1[[#This Row],[Price]]</f>
        <v>258.20999999999998</v>
      </c>
      <c r="C185" s="4">
        <f t="shared" si="8"/>
        <v>-6.7318048930604711E-3</v>
      </c>
      <c r="D185" s="8">
        <f t="shared" si="9"/>
        <v>261.88400000000001</v>
      </c>
      <c r="E185" s="8">
        <f t="shared" si="10"/>
        <v>267.28900000000004</v>
      </c>
      <c r="F185" s="8">
        <f t="shared" si="11"/>
        <v>271.8</v>
      </c>
    </row>
    <row r="186" spans="1:6" x14ac:dyDescent="0.3">
      <c r="A186" s="2">
        <f>Table1[[#This Row],[Date]]</f>
        <v>46038</v>
      </c>
      <c r="B186" s="8">
        <f>Table1[[#This Row],[Price]]</f>
        <v>255.53</v>
      </c>
      <c r="C186" s="4">
        <f t="shared" si="8"/>
        <v>-1.0379148754889348E-2</v>
      </c>
      <c r="D186" s="8">
        <f t="shared" si="9"/>
        <v>260.33600000000001</v>
      </c>
      <c r="E186" s="8">
        <f t="shared" si="10"/>
        <v>266.47350000000006</v>
      </c>
      <c r="F186" s="8">
        <f t="shared" si="11"/>
        <v>271.50979999999998</v>
      </c>
    </row>
    <row r="187" spans="1:6" x14ac:dyDescent="0.3">
      <c r="A187" s="2">
        <f>Table1[[#This Row],[Date]]</f>
        <v>46042</v>
      </c>
      <c r="B187" s="8">
        <f>Table1[[#This Row],[Price]]</f>
        <v>246.7</v>
      </c>
      <c r="C187" s="4">
        <f t="shared" si="8"/>
        <v>-3.4555629475991126E-2</v>
      </c>
      <c r="D187" s="8">
        <f t="shared" si="9"/>
        <v>258.27999999999997</v>
      </c>
      <c r="E187" s="8">
        <f t="shared" si="10"/>
        <v>265.19899999999996</v>
      </c>
      <c r="F187" s="8">
        <f t="shared" si="11"/>
        <v>271.041</v>
      </c>
    </row>
    <row r="188" spans="1:6" x14ac:dyDescent="0.3">
      <c r="A188" s="2">
        <f>Table1[[#This Row],[Date]]</f>
        <v>46043</v>
      </c>
      <c r="B188" s="8">
        <f>Table1[[#This Row],[Price]]</f>
        <v>247.65</v>
      </c>
      <c r="C188" s="4">
        <f t="shared" si="8"/>
        <v>3.850830968788071E-3</v>
      </c>
      <c r="D188" s="8">
        <f t="shared" si="9"/>
        <v>256.80900000000003</v>
      </c>
      <c r="E188" s="8">
        <f t="shared" si="10"/>
        <v>263.89799999999997</v>
      </c>
      <c r="F188" s="8">
        <f t="shared" si="11"/>
        <v>270.59859999999998</v>
      </c>
    </row>
    <row r="189" spans="1:6" x14ac:dyDescent="0.3">
      <c r="A189" s="2">
        <f>Table1[[#This Row],[Date]]</f>
        <v>46044</v>
      </c>
      <c r="B189" s="8">
        <f>Table1[[#This Row],[Price]]</f>
        <v>248.35</v>
      </c>
      <c r="C189" s="4">
        <f t="shared" si="8"/>
        <v>2.826569755703568E-3</v>
      </c>
      <c r="D189" s="8">
        <f t="shared" si="9"/>
        <v>255.61100000000002</v>
      </c>
      <c r="E189" s="8">
        <f t="shared" si="10"/>
        <v>262.76699999999994</v>
      </c>
      <c r="F189" s="8">
        <f t="shared" si="11"/>
        <v>270.19619999999998</v>
      </c>
    </row>
    <row r="190" spans="1:6" x14ac:dyDescent="0.3">
      <c r="A190" s="2">
        <f>Table1[[#This Row],[Date]]</f>
        <v>46045</v>
      </c>
      <c r="B190" s="8">
        <f>Table1[[#This Row],[Price]]</f>
        <v>248.04</v>
      </c>
      <c r="C190" s="4">
        <f t="shared" si="8"/>
        <v>-1.2482383732635486E-3</v>
      </c>
      <c r="D190" s="8">
        <f t="shared" si="9"/>
        <v>254.51100000000002</v>
      </c>
      <c r="E190" s="8">
        <f t="shared" si="10"/>
        <v>261.55099999999999</v>
      </c>
      <c r="F190" s="8">
        <f t="shared" si="11"/>
        <v>269.76839999999999</v>
      </c>
    </row>
    <row r="191" spans="1:6" x14ac:dyDescent="0.3">
      <c r="A191" s="2">
        <f>Table1[[#This Row],[Date]]</f>
        <v>46048</v>
      </c>
      <c r="B191" s="8">
        <f>Table1[[#This Row],[Price]]</f>
        <v>255.41</v>
      </c>
      <c r="C191" s="4">
        <f t="shared" si="8"/>
        <v>2.97129495242703E-2</v>
      </c>
      <c r="D191" s="8">
        <f t="shared" si="9"/>
        <v>254.11500000000001</v>
      </c>
      <c r="E191" s="8">
        <f t="shared" si="10"/>
        <v>260.63099999999997</v>
      </c>
      <c r="F191" s="8">
        <f t="shared" si="11"/>
        <v>269.37160000000006</v>
      </c>
    </row>
    <row r="192" spans="1:6" x14ac:dyDescent="0.3">
      <c r="A192" s="2">
        <f>Table1[[#This Row],[Date]]</f>
        <v>46049</v>
      </c>
      <c r="B192" s="8">
        <f>Table1[[#This Row],[Price]]</f>
        <v>258.27</v>
      </c>
      <c r="C192" s="4">
        <f t="shared" si="8"/>
        <v>1.1197682158098686E-2</v>
      </c>
      <c r="D192" s="8">
        <f t="shared" si="9"/>
        <v>253.917</v>
      </c>
      <c r="E192" s="8">
        <f t="shared" si="10"/>
        <v>259.87450000000001</v>
      </c>
      <c r="F192" s="8">
        <f t="shared" si="11"/>
        <v>269.06760000000008</v>
      </c>
    </row>
    <row r="193" spans="1:6" x14ac:dyDescent="0.3">
      <c r="A193" s="2">
        <f>Table1[[#This Row],[Date]]</f>
        <v>46050</v>
      </c>
      <c r="B193" s="8">
        <f>Table1[[#This Row],[Price]]</f>
        <v>256.44</v>
      </c>
      <c r="C193" s="4">
        <f t="shared" si="8"/>
        <v>-7.0856080845626062E-3</v>
      </c>
      <c r="D193" s="8">
        <f t="shared" si="9"/>
        <v>253.45599999999999</v>
      </c>
      <c r="E193" s="8">
        <f t="shared" si="10"/>
        <v>259.00849999999997</v>
      </c>
      <c r="F193" s="8">
        <f t="shared" si="11"/>
        <v>268.73740000000004</v>
      </c>
    </row>
    <row r="194" spans="1:6" x14ac:dyDescent="0.3">
      <c r="A194" s="2">
        <f>Table1[[#This Row],[Date]]</f>
        <v>46051</v>
      </c>
      <c r="B194" s="8">
        <f>Table1[[#This Row],[Price]]</f>
        <v>258.27999999999997</v>
      </c>
      <c r="C194" s="4">
        <f t="shared" si="8"/>
        <v>7.1751676805489589E-3</v>
      </c>
      <c r="D194" s="8">
        <f t="shared" si="9"/>
        <v>253.28800000000001</v>
      </c>
      <c r="E194" s="8">
        <f t="shared" si="10"/>
        <v>258.26849999999996</v>
      </c>
      <c r="F194" s="8">
        <f t="shared" si="11"/>
        <v>268.45480000000009</v>
      </c>
    </row>
    <row r="195" spans="1:6" x14ac:dyDescent="0.3">
      <c r="A195" s="2">
        <f>Table1[[#This Row],[Date]]</f>
        <v>46052</v>
      </c>
      <c r="B195" s="8">
        <f>Table1[[#This Row],[Price]]</f>
        <v>259.48</v>
      </c>
      <c r="C195" s="4">
        <f t="shared" si="8"/>
        <v>4.6461204893915344E-3</v>
      </c>
      <c r="D195" s="8">
        <f t="shared" si="9"/>
        <v>253.41500000000002</v>
      </c>
      <c r="E195" s="8">
        <f t="shared" si="10"/>
        <v>257.64949999999999</v>
      </c>
      <c r="F195" s="8">
        <f t="shared" si="11"/>
        <v>268.29520000000002</v>
      </c>
    </row>
    <row r="196" spans="1:6" x14ac:dyDescent="0.3">
      <c r="A196" s="2">
        <f>Table1[[#This Row],[Date]]</f>
        <v>46055</v>
      </c>
      <c r="B196" s="8">
        <f>Table1[[#This Row],[Price]]</f>
        <v>270.01</v>
      </c>
      <c r="C196" s="4">
        <f t="shared" ref="C196:C253" si="12">(B196-B195)/B195</f>
        <v>4.0581162324649193E-2</v>
      </c>
      <c r="D196" s="8">
        <f t="shared" si="9"/>
        <v>254.863</v>
      </c>
      <c r="E196" s="8">
        <f t="shared" si="10"/>
        <v>257.59949999999998</v>
      </c>
      <c r="F196" s="8">
        <f t="shared" si="11"/>
        <v>268.34660000000002</v>
      </c>
    </row>
    <row r="197" spans="1:6" x14ac:dyDescent="0.3">
      <c r="A197" s="2">
        <f>Table1[[#This Row],[Date]]</f>
        <v>46056</v>
      </c>
      <c r="B197" s="8">
        <f>Table1[[#This Row],[Price]]</f>
        <v>269.48</v>
      </c>
      <c r="C197" s="4">
        <f t="shared" si="12"/>
        <v>-1.9628902633234795E-3</v>
      </c>
      <c r="D197" s="8">
        <f t="shared" si="9"/>
        <v>257.14099999999996</v>
      </c>
      <c r="E197" s="8">
        <f t="shared" si="10"/>
        <v>257.71049999999997</v>
      </c>
      <c r="F197" s="8">
        <f t="shared" si="11"/>
        <v>268.36500000000001</v>
      </c>
    </row>
    <row r="198" spans="1:6" x14ac:dyDescent="0.3">
      <c r="A198" s="2">
        <f>Table1[[#This Row],[Date]]</f>
        <v>46057</v>
      </c>
      <c r="B198" s="8">
        <f>Table1[[#This Row],[Price]]</f>
        <v>276.49</v>
      </c>
      <c r="C198" s="4">
        <f t="shared" si="12"/>
        <v>2.6013062193854797E-2</v>
      </c>
      <c r="D198" s="8">
        <f t="shared" si="9"/>
        <v>260.02499999999998</v>
      </c>
      <c r="E198" s="8">
        <f t="shared" si="10"/>
        <v>258.41700000000003</v>
      </c>
      <c r="F198" s="8">
        <f t="shared" si="11"/>
        <v>268.56979999999999</v>
      </c>
    </row>
    <row r="199" spans="1:6" x14ac:dyDescent="0.3">
      <c r="A199" s="2">
        <f>Table1[[#This Row],[Date]]</f>
        <v>46058</v>
      </c>
      <c r="B199" s="8">
        <f>Table1[[#This Row],[Price]]</f>
        <v>275.91000000000003</v>
      </c>
      <c r="C199" s="4">
        <f t="shared" si="12"/>
        <v>-2.0977250533472606E-3</v>
      </c>
      <c r="D199" s="8">
        <f t="shared" si="9"/>
        <v>262.78099999999995</v>
      </c>
      <c r="E199" s="8">
        <f t="shared" si="10"/>
        <v>259.19600000000003</v>
      </c>
      <c r="F199" s="8">
        <f t="shared" si="11"/>
        <v>268.65820000000002</v>
      </c>
    </row>
    <row r="200" spans="1:6" x14ac:dyDescent="0.3">
      <c r="A200" s="2">
        <f>Table1[[#This Row],[Date]]</f>
        <v>46059</v>
      </c>
      <c r="B200" s="8">
        <f>Table1[[#This Row],[Price]]</f>
        <v>278.12</v>
      </c>
      <c r="C200" s="4">
        <f t="shared" si="12"/>
        <v>8.0098582871225375E-3</v>
      </c>
      <c r="D200" s="8">
        <f t="shared" si="9"/>
        <v>265.78899999999993</v>
      </c>
      <c r="E200" s="8">
        <f t="shared" si="10"/>
        <v>260.14999999999998</v>
      </c>
      <c r="F200" s="8">
        <f t="shared" si="11"/>
        <v>268.7022</v>
      </c>
    </row>
    <row r="201" spans="1:6" x14ac:dyDescent="0.3">
      <c r="A201" s="2">
        <f>Table1[[#This Row],[Date]]</f>
        <v>46062</v>
      </c>
      <c r="B201" s="8">
        <f>Table1[[#This Row],[Price]]</f>
        <v>274.62</v>
      </c>
      <c r="C201" s="4">
        <f t="shared" si="12"/>
        <v>-1.2584495901049906E-2</v>
      </c>
      <c r="D201" s="8">
        <f t="shared" si="9"/>
        <v>267.70999999999998</v>
      </c>
      <c r="E201" s="8">
        <f t="shared" si="10"/>
        <v>260.91250000000002</v>
      </c>
      <c r="F201" s="8">
        <f t="shared" si="11"/>
        <v>268.65520000000004</v>
      </c>
    </row>
    <row r="202" spans="1:6" x14ac:dyDescent="0.3">
      <c r="A202" s="2">
        <f>Table1[[#This Row],[Date]]</f>
        <v>46063</v>
      </c>
      <c r="B202" s="8">
        <f>Table1[[#This Row],[Price]]</f>
        <v>273.68</v>
      </c>
      <c r="C202" s="4">
        <f t="shared" si="12"/>
        <v>-3.4229116597480069E-3</v>
      </c>
      <c r="D202" s="8">
        <f t="shared" si="9"/>
        <v>269.25099999999998</v>
      </c>
      <c r="E202" s="8">
        <f t="shared" si="10"/>
        <v>261.584</v>
      </c>
      <c r="F202" s="8">
        <f t="shared" si="11"/>
        <v>268.57780000000002</v>
      </c>
    </row>
    <row r="203" spans="1:6" x14ac:dyDescent="0.3">
      <c r="A203" s="2">
        <f>Table1[[#This Row],[Date]]</f>
        <v>46064</v>
      </c>
      <c r="B203" s="8">
        <f>Table1[[#This Row],[Price]]</f>
        <v>275.5</v>
      </c>
      <c r="C203" s="4">
        <f t="shared" si="12"/>
        <v>6.6501023092662712E-3</v>
      </c>
      <c r="D203" s="8">
        <f t="shared" si="9"/>
        <v>271.15699999999998</v>
      </c>
      <c r="E203" s="8">
        <f t="shared" si="10"/>
        <v>262.30650000000003</v>
      </c>
      <c r="F203" s="8">
        <f t="shared" si="11"/>
        <v>268.51080000000007</v>
      </c>
    </row>
    <row r="204" spans="1:6" x14ac:dyDescent="0.3">
      <c r="A204" s="2">
        <f>Table1[[#This Row],[Date]]</f>
        <v>46065</v>
      </c>
      <c r="B204" s="8">
        <f>Table1[[#This Row],[Price]]</f>
        <v>261.73</v>
      </c>
      <c r="C204" s="4">
        <f t="shared" si="12"/>
        <v>-4.9981851179673256E-2</v>
      </c>
      <c r="D204" s="8">
        <f t="shared" ref="D204:D253" si="13">AVERAGE(B195:B204)</f>
        <v>271.50200000000001</v>
      </c>
      <c r="E204" s="8">
        <f t="shared" si="10"/>
        <v>262.39499999999998</v>
      </c>
      <c r="F204" s="8">
        <f t="shared" si="11"/>
        <v>268.0834000000001</v>
      </c>
    </row>
    <row r="205" spans="1:6" x14ac:dyDescent="0.3">
      <c r="A205" s="2">
        <f>Table1[[#This Row],[Date]]</f>
        <v>46066</v>
      </c>
      <c r="B205" s="8">
        <f>Table1[[#This Row],[Price]]</f>
        <v>255.78</v>
      </c>
      <c r="C205" s="4">
        <f t="shared" si="12"/>
        <v>-2.2733351163412741E-2</v>
      </c>
      <c r="D205" s="8">
        <f t="shared" si="13"/>
        <v>271.13200000000006</v>
      </c>
      <c r="E205" s="8">
        <f t="shared" si="10"/>
        <v>262.27350000000001</v>
      </c>
      <c r="F205" s="8">
        <f t="shared" si="11"/>
        <v>267.47520000000009</v>
      </c>
    </row>
    <row r="206" spans="1:6" x14ac:dyDescent="0.3">
      <c r="A206" s="2">
        <f>Table1[[#This Row],[Date]]</f>
        <v>46070</v>
      </c>
      <c r="B206" s="8">
        <f>Table1[[#This Row],[Price]]</f>
        <v>263.88</v>
      </c>
      <c r="C206" s="4">
        <f t="shared" si="12"/>
        <v>3.1667839549612928E-2</v>
      </c>
      <c r="D206" s="8">
        <f t="shared" si="13"/>
        <v>270.51900000000001</v>
      </c>
      <c r="E206" s="8">
        <f t="shared" si="10"/>
        <v>262.69099999999997</v>
      </c>
      <c r="F206" s="8">
        <f t="shared" si="11"/>
        <v>267.06980000000004</v>
      </c>
    </row>
    <row r="207" spans="1:6" x14ac:dyDescent="0.3">
      <c r="A207" s="2">
        <f>Table1[[#This Row],[Date]]</f>
        <v>46071</v>
      </c>
      <c r="B207" s="8">
        <f>Table1[[#This Row],[Price]]</f>
        <v>264.35000000000002</v>
      </c>
      <c r="C207" s="4">
        <f t="shared" si="12"/>
        <v>1.7811126269517482E-3</v>
      </c>
      <c r="D207" s="8">
        <f t="shared" si="13"/>
        <v>270.00600000000003</v>
      </c>
      <c r="E207" s="8">
        <f t="shared" si="10"/>
        <v>263.57349999999997</v>
      </c>
      <c r="F207" s="8">
        <f t="shared" si="11"/>
        <v>266.74280000000005</v>
      </c>
    </row>
    <row r="208" spans="1:6" x14ac:dyDescent="0.3">
      <c r="A208" s="2">
        <f>Table1[[#This Row],[Date]]</f>
        <v>46072</v>
      </c>
      <c r="B208" s="8">
        <f>Table1[[#This Row],[Price]]</f>
        <v>260.58</v>
      </c>
      <c r="C208" s="4">
        <f t="shared" si="12"/>
        <v>-1.426139587667879E-2</v>
      </c>
      <c r="D208" s="8">
        <f t="shared" si="13"/>
        <v>268.41499999999996</v>
      </c>
      <c r="E208" s="8">
        <f t="shared" si="10"/>
        <v>264.21999999999997</v>
      </c>
      <c r="F208" s="8">
        <f t="shared" si="11"/>
        <v>266.37880000000007</v>
      </c>
    </row>
    <row r="209" spans="1:6" x14ac:dyDescent="0.3">
      <c r="A209" s="2">
        <f>Table1[[#This Row],[Date]]</f>
        <v>46073</v>
      </c>
      <c r="B209" s="8">
        <f>Table1[[#This Row],[Price]]</f>
        <v>264.58</v>
      </c>
      <c r="C209" s="4">
        <f t="shared" si="12"/>
        <v>1.5350372246526979E-2</v>
      </c>
      <c r="D209" s="8">
        <f t="shared" si="13"/>
        <v>267.28199999999998</v>
      </c>
      <c r="E209" s="8">
        <f t="shared" si="10"/>
        <v>265.03149999999994</v>
      </c>
      <c r="F209" s="8">
        <f t="shared" si="11"/>
        <v>266.11260000000004</v>
      </c>
    </row>
    <row r="210" spans="1:6" x14ac:dyDescent="0.3">
      <c r="A210" s="2">
        <f>Table1[[#This Row],[Date]]</f>
        <v>46076</v>
      </c>
      <c r="B210" s="8">
        <f>Table1[[#This Row],[Price]]</f>
        <v>266.18</v>
      </c>
      <c r="C210" s="4">
        <f t="shared" si="12"/>
        <v>6.0473202812004797E-3</v>
      </c>
      <c r="D210" s="8">
        <f t="shared" si="13"/>
        <v>266.08799999999997</v>
      </c>
      <c r="E210" s="8">
        <f t="shared" si="10"/>
        <v>265.93849999999998</v>
      </c>
      <c r="F210" s="8">
        <f t="shared" si="11"/>
        <v>265.89260000000002</v>
      </c>
    </row>
    <row r="211" spans="1:6" x14ac:dyDescent="0.3">
      <c r="A211" s="2">
        <f>Table1[[#This Row],[Date]]</f>
        <v>46077</v>
      </c>
      <c r="B211" s="8">
        <f>Table1[[#This Row],[Price]]</f>
        <v>272.14</v>
      </c>
      <c r="C211" s="4">
        <f t="shared" si="12"/>
        <v>2.2390863325569086E-2</v>
      </c>
      <c r="D211" s="8">
        <f t="shared" si="13"/>
        <v>265.83999999999997</v>
      </c>
      <c r="E211" s="8">
        <f t="shared" si="10"/>
        <v>266.77500000000003</v>
      </c>
      <c r="F211" s="8">
        <f t="shared" si="11"/>
        <v>265.75979999999998</v>
      </c>
    </row>
    <row r="212" spans="1:6" x14ac:dyDescent="0.3">
      <c r="A212" s="2">
        <f>Table1[[#This Row],[Date]]</f>
        <v>46078</v>
      </c>
      <c r="B212" s="8">
        <f>Table1[[#This Row],[Price]]</f>
        <v>274.23</v>
      </c>
      <c r="C212" s="4">
        <f t="shared" si="12"/>
        <v>7.679870654810142E-3</v>
      </c>
      <c r="D212" s="8">
        <f t="shared" si="13"/>
        <v>265.89499999999992</v>
      </c>
      <c r="E212" s="8">
        <f t="shared" si="10"/>
        <v>267.57300000000004</v>
      </c>
      <c r="F212" s="8">
        <f t="shared" si="11"/>
        <v>265.68379999999996</v>
      </c>
    </row>
    <row r="213" spans="1:6" x14ac:dyDescent="0.3">
      <c r="A213" s="2">
        <f>Table1[[#This Row],[Date]]</f>
        <v>46079</v>
      </c>
      <c r="B213" s="8">
        <f>Table1[[#This Row],[Price]]</f>
        <v>272.95</v>
      </c>
      <c r="C213" s="4">
        <f t="shared" si="12"/>
        <v>-4.6676147759181323E-3</v>
      </c>
      <c r="D213" s="8">
        <f t="shared" si="13"/>
        <v>265.64</v>
      </c>
      <c r="E213" s="8">
        <f t="shared" si="10"/>
        <v>268.39850000000001</v>
      </c>
      <c r="F213" s="8">
        <f t="shared" si="11"/>
        <v>265.5772</v>
      </c>
    </row>
    <row r="214" spans="1:6" x14ac:dyDescent="0.3">
      <c r="A214" s="2">
        <f>Table1[[#This Row],[Date]]</f>
        <v>46080</v>
      </c>
      <c r="B214" s="8">
        <f>Table1[[#This Row],[Price]]</f>
        <v>264.18</v>
      </c>
      <c r="C214" s="4">
        <f t="shared" si="12"/>
        <v>-3.2130426818098488E-2</v>
      </c>
      <c r="D214" s="8">
        <f t="shared" si="13"/>
        <v>265.88499999999993</v>
      </c>
      <c r="E214" s="8">
        <f t="shared" ref="E214:E253" si="14">AVERAGE(B195:B214)</f>
        <v>268.69349999999997</v>
      </c>
      <c r="F214" s="8">
        <f t="shared" si="11"/>
        <v>265.37860000000001</v>
      </c>
    </row>
    <row r="215" spans="1:6" x14ac:dyDescent="0.3">
      <c r="A215" s="2">
        <f>Table1[[#This Row],[Date]]</f>
        <v>46083</v>
      </c>
      <c r="B215" s="8">
        <f>Table1[[#This Row],[Price]]</f>
        <v>264.72000000000003</v>
      </c>
      <c r="C215" s="4">
        <f t="shared" si="12"/>
        <v>2.0440608675903566E-3</v>
      </c>
      <c r="D215" s="8">
        <f t="shared" si="13"/>
        <v>266.779</v>
      </c>
      <c r="E215" s="8">
        <f t="shared" si="14"/>
        <v>268.95550000000003</v>
      </c>
      <c r="F215" s="8">
        <f t="shared" si="11"/>
        <v>265.18079999999998</v>
      </c>
    </row>
    <row r="216" spans="1:6" x14ac:dyDescent="0.3">
      <c r="A216" s="2">
        <f>Table1[[#This Row],[Date]]</f>
        <v>46084</v>
      </c>
      <c r="B216" s="8">
        <f>Table1[[#This Row],[Price]]</f>
        <v>263.75</v>
      </c>
      <c r="C216" s="4">
        <f t="shared" si="12"/>
        <v>-3.6642490178302629E-3</v>
      </c>
      <c r="D216" s="8">
        <f t="shared" si="13"/>
        <v>266.76599999999996</v>
      </c>
      <c r="E216" s="8">
        <f t="shared" si="14"/>
        <v>268.64250000000004</v>
      </c>
      <c r="F216" s="8">
        <f t="shared" si="11"/>
        <v>265.01900000000001</v>
      </c>
    </row>
    <row r="217" spans="1:6" x14ac:dyDescent="0.3">
      <c r="A217" s="2">
        <f>Table1[[#This Row],[Date]]</f>
        <v>46085</v>
      </c>
      <c r="B217" s="8">
        <f>Table1[[#This Row],[Price]]</f>
        <v>262.52</v>
      </c>
      <c r="C217" s="4">
        <f t="shared" si="12"/>
        <v>-4.6635071090048085E-3</v>
      </c>
      <c r="D217" s="8">
        <f t="shared" si="13"/>
        <v>266.58300000000003</v>
      </c>
      <c r="E217" s="8">
        <f t="shared" si="14"/>
        <v>268.29450000000008</v>
      </c>
      <c r="F217" s="8">
        <f t="shared" si="11"/>
        <v>264.82559999999995</v>
      </c>
    </row>
    <row r="218" spans="1:6" x14ac:dyDescent="0.3">
      <c r="A218" s="2">
        <f>Table1[[#This Row],[Date]]</f>
        <v>46086</v>
      </c>
      <c r="B218" s="8">
        <f>Table1[[#This Row],[Price]]</f>
        <v>260.29000000000002</v>
      </c>
      <c r="C218" s="4">
        <f t="shared" si="12"/>
        <v>-8.4945908883131242E-3</v>
      </c>
      <c r="D218" s="8">
        <f t="shared" si="13"/>
        <v>266.55400000000003</v>
      </c>
      <c r="E218" s="8">
        <f t="shared" si="14"/>
        <v>267.48449999999997</v>
      </c>
      <c r="F218" s="8">
        <f t="shared" si="11"/>
        <v>264.55799999999999</v>
      </c>
    </row>
    <row r="219" spans="1:6" x14ac:dyDescent="0.3">
      <c r="A219" s="2">
        <f>Table1[[#This Row],[Date]]</f>
        <v>46087</v>
      </c>
      <c r="B219" s="8">
        <f>Table1[[#This Row],[Price]]</f>
        <v>257.45999999999998</v>
      </c>
      <c r="C219" s="4">
        <f t="shared" si="12"/>
        <v>-1.0872488378347384E-2</v>
      </c>
      <c r="D219" s="8">
        <f t="shared" si="13"/>
        <v>265.84199999999998</v>
      </c>
      <c r="E219" s="8">
        <f t="shared" si="14"/>
        <v>266.56200000000001</v>
      </c>
      <c r="F219" s="8">
        <f t="shared" si="11"/>
        <v>264.28779999999995</v>
      </c>
    </row>
    <row r="220" spans="1:6" x14ac:dyDescent="0.3">
      <c r="A220" s="2">
        <f>Table1[[#This Row],[Date]]</f>
        <v>46090</v>
      </c>
      <c r="B220" s="8">
        <f>Table1[[#This Row],[Price]]</f>
        <v>259.88</v>
      </c>
      <c r="C220" s="4">
        <f t="shared" si="12"/>
        <v>9.3995183717859709E-3</v>
      </c>
      <c r="D220" s="8">
        <f t="shared" si="13"/>
        <v>265.21200000000005</v>
      </c>
      <c r="E220" s="8">
        <f t="shared" si="14"/>
        <v>265.64999999999998</v>
      </c>
      <c r="F220" s="8">
        <f t="shared" si="11"/>
        <v>264.0381999999999</v>
      </c>
    </row>
    <row r="221" spans="1:6" x14ac:dyDescent="0.3">
      <c r="A221" s="2">
        <f>Table1[[#This Row],[Date]]</f>
        <v>46091</v>
      </c>
      <c r="B221" s="8">
        <f>Table1[[#This Row],[Price]]</f>
        <v>260.83</v>
      </c>
      <c r="C221" s="4">
        <f t="shared" si="12"/>
        <v>3.6555333230721436E-3</v>
      </c>
      <c r="D221" s="8">
        <f t="shared" si="13"/>
        <v>264.08100000000002</v>
      </c>
      <c r="E221" s="8">
        <f t="shared" si="14"/>
        <v>264.96050000000002</v>
      </c>
      <c r="F221" s="8">
        <f t="shared" si="11"/>
        <v>263.77859999999993</v>
      </c>
    </row>
    <row r="222" spans="1:6" x14ac:dyDescent="0.3">
      <c r="A222" s="2">
        <f>Table1[[#This Row],[Date]]</f>
        <v>46092</v>
      </c>
      <c r="B222" s="8">
        <f>Table1[[#This Row],[Price]]</f>
        <v>260.81</v>
      </c>
      <c r="C222" s="4">
        <f t="shared" si="12"/>
        <v>-7.6678296208188525E-5</v>
      </c>
      <c r="D222" s="8">
        <f t="shared" si="13"/>
        <v>262.73899999999998</v>
      </c>
      <c r="E222" s="8">
        <f t="shared" si="14"/>
        <v>264.31700000000001</v>
      </c>
      <c r="F222" s="8">
        <f t="shared" si="11"/>
        <v>263.52679999999992</v>
      </c>
    </row>
    <row r="223" spans="1:6" x14ac:dyDescent="0.3">
      <c r="A223" s="2">
        <f>Table1[[#This Row],[Date]]</f>
        <v>46093</v>
      </c>
      <c r="B223" s="8">
        <f>Table1[[#This Row],[Price]]</f>
        <v>255.76</v>
      </c>
      <c r="C223" s="4">
        <f t="shared" si="12"/>
        <v>-1.9362754495609875E-2</v>
      </c>
      <c r="D223" s="8">
        <f t="shared" si="13"/>
        <v>261.02</v>
      </c>
      <c r="E223" s="8">
        <f t="shared" si="14"/>
        <v>263.33</v>
      </c>
      <c r="F223" s="8">
        <f t="shared" si="11"/>
        <v>263.16679999999991</v>
      </c>
    </row>
    <row r="224" spans="1:6" x14ac:dyDescent="0.3">
      <c r="A224" s="2">
        <f>Table1[[#This Row],[Date]]</f>
        <v>46094</v>
      </c>
      <c r="B224" s="8">
        <f>Table1[[#This Row],[Price]]</f>
        <v>250.12</v>
      </c>
      <c r="C224" s="4">
        <f t="shared" si="12"/>
        <v>-2.2051923678448493E-2</v>
      </c>
      <c r="D224" s="8">
        <f t="shared" si="13"/>
        <v>259.61399999999992</v>
      </c>
      <c r="E224" s="8">
        <f t="shared" si="14"/>
        <v>262.74950000000001</v>
      </c>
      <c r="F224" s="8">
        <f t="shared" si="11"/>
        <v>262.70759999999996</v>
      </c>
    </row>
    <row r="225" spans="1:6" x14ac:dyDescent="0.3">
      <c r="A225" s="2">
        <f>Table1[[#This Row],[Date]]</f>
        <v>46097</v>
      </c>
      <c r="B225" s="8">
        <f>Table1[[#This Row],[Price]]</f>
        <v>252.82</v>
      </c>
      <c r="C225" s="4">
        <f t="shared" si="12"/>
        <v>1.0794818487126134E-2</v>
      </c>
      <c r="D225" s="8">
        <f t="shared" si="13"/>
        <v>258.42400000000004</v>
      </c>
      <c r="E225" s="8">
        <f t="shared" si="14"/>
        <v>262.60150000000004</v>
      </c>
      <c r="F225" s="8">
        <f t="shared" si="11"/>
        <v>262.32679999999999</v>
      </c>
    </row>
    <row r="226" spans="1:6" x14ac:dyDescent="0.3">
      <c r="A226" s="2">
        <f>Table1[[#This Row],[Date]]</f>
        <v>46098</v>
      </c>
      <c r="B226" s="8">
        <f>Table1[[#This Row],[Price]]</f>
        <v>254.23</v>
      </c>
      <c r="C226" s="4">
        <f t="shared" si="12"/>
        <v>5.577090420061691E-3</v>
      </c>
      <c r="D226" s="8">
        <f t="shared" si="13"/>
        <v>257.47200000000004</v>
      </c>
      <c r="E226" s="8">
        <f t="shared" si="14"/>
        <v>262.11899999999997</v>
      </c>
      <c r="F226" s="8">
        <f t="shared" si="11"/>
        <v>261.99119999999994</v>
      </c>
    </row>
    <row r="227" spans="1:6" x14ac:dyDescent="0.3">
      <c r="A227" s="2">
        <f>Table1[[#This Row],[Date]]</f>
        <v>46099</v>
      </c>
      <c r="B227" s="8">
        <f>Table1[[#This Row],[Price]]</f>
        <v>249.94</v>
      </c>
      <c r="C227" s="4">
        <f t="shared" si="12"/>
        <v>-1.6874483735200379E-2</v>
      </c>
      <c r="D227" s="8">
        <f t="shared" si="13"/>
        <v>256.21400000000006</v>
      </c>
      <c r="E227" s="8">
        <f t="shared" si="14"/>
        <v>261.39849999999996</v>
      </c>
      <c r="F227" s="8">
        <f t="shared" si="11"/>
        <v>261.64479999999998</v>
      </c>
    </row>
    <row r="228" spans="1:6" x14ac:dyDescent="0.3">
      <c r="A228" s="2">
        <f>Table1[[#This Row],[Date]]</f>
        <v>46100</v>
      </c>
      <c r="B228" s="8">
        <f>Table1[[#This Row],[Price]]</f>
        <v>248.96</v>
      </c>
      <c r="C228" s="4">
        <f t="shared" si="12"/>
        <v>-3.9209410258461619E-3</v>
      </c>
      <c r="D228" s="8">
        <f t="shared" si="13"/>
        <v>255.08099999999996</v>
      </c>
      <c r="E228" s="8">
        <f t="shared" si="14"/>
        <v>260.8175</v>
      </c>
      <c r="F228" s="8">
        <f t="shared" si="11"/>
        <v>261.37679999999995</v>
      </c>
    </row>
    <row r="229" spans="1:6" x14ac:dyDescent="0.3">
      <c r="A229" s="2">
        <f>Table1[[#This Row],[Date]]</f>
        <v>46101</v>
      </c>
      <c r="B229" s="8">
        <f>Table1[[#This Row],[Price]]</f>
        <v>247.99</v>
      </c>
      <c r="C229" s="4">
        <f t="shared" si="12"/>
        <v>-3.8962082262210748E-3</v>
      </c>
      <c r="D229" s="8">
        <f t="shared" si="13"/>
        <v>254.13400000000001</v>
      </c>
      <c r="E229" s="8">
        <f t="shared" si="14"/>
        <v>259.98799999999994</v>
      </c>
      <c r="F229" s="8">
        <f t="shared" si="11"/>
        <v>261.12999999999994</v>
      </c>
    </row>
    <row r="230" spans="1:6" x14ac:dyDescent="0.3">
      <c r="A230" s="2">
        <f>Table1[[#This Row],[Date]]</f>
        <v>46104</v>
      </c>
      <c r="B230" s="8">
        <f>Table1[[#This Row],[Price]]</f>
        <v>251.49</v>
      </c>
      <c r="C230" s="4">
        <f t="shared" si="12"/>
        <v>1.4113472317432154E-2</v>
      </c>
      <c r="D230" s="8">
        <f t="shared" si="13"/>
        <v>253.29499999999999</v>
      </c>
      <c r="E230" s="8">
        <f t="shared" si="14"/>
        <v>259.25349999999997</v>
      </c>
      <c r="F230" s="8">
        <f t="shared" si="11"/>
        <v>260.97899999999998</v>
      </c>
    </row>
    <row r="231" spans="1:6" x14ac:dyDescent="0.3">
      <c r="A231" s="2">
        <f>Table1[[#This Row],[Date]]</f>
        <v>46105</v>
      </c>
      <c r="B231" s="8">
        <f>Table1[[#This Row],[Price]]</f>
        <v>251.64</v>
      </c>
      <c r="C231" s="4">
        <f t="shared" si="12"/>
        <v>5.9644518668725303E-4</v>
      </c>
      <c r="D231" s="8">
        <f t="shared" si="13"/>
        <v>252.37599999999998</v>
      </c>
      <c r="E231" s="8">
        <f t="shared" si="14"/>
        <v>258.2285</v>
      </c>
      <c r="F231" s="8">
        <f t="shared" si="11"/>
        <v>260.82439999999997</v>
      </c>
    </row>
    <row r="232" spans="1:6" x14ac:dyDescent="0.3">
      <c r="A232" s="2">
        <f>Table1[[#This Row],[Date]]</f>
        <v>46106</v>
      </c>
      <c r="B232" s="8">
        <f>Table1[[#This Row],[Price]]</f>
        <v>252.62</v>
      </c>
      <c r="C232" s="4">
        <f t="shared" si="12"/>
        <v>3.8944523923065419E-3</v>
      </c>
      <c r="D232" s="8">
        <f t="shared" si="13"/>
        <v>251.55700000000002</v>
      </c>
      <c r="E232" s="8">
        <f t="shared" si="14"/>
        <v>257.14799999999997</v>
      </c>
      <c r="F232" s="8">
        <f t="shared" si="11"/>
        <v>260.67179999999996</v>
      </c>
    </row>
    <row r="233" spans="1:6" x14ac:dyDescent="0.3">
      <c r="A233" s="2">
        <f>Table1[[#This Row],[Date]]</f>
        <v>46107</v>
      </c>
      <c r="B233" s="8">
        <f>Table1[[#This Row],[Price]]</f>
        <v>252.89</v>
      </c>
      <c r="C233" s="4">
        <f t="shared" si="12"/>
        <v>1.0687989866201481E-3</v>
      </c>
      <c r="D233" s="8">
        <f t="shared" si="13"/>
        <v>251.26999999999998</v>
      </c>
      <c r="E233" s="8">
        <f t="shared" si="14"/>
        <v>256.14500000000004</v>
      </c>
      <c r="F233" s="8">
        <f t="shared" si="11"/>
        <v>260.5086</v>
      </c>
    </row>
    <row r="234" spans="1:6" x14ac:dyDescent="0.3">
      <c r="A234" s="2">
        <f>Table1[[#This Row],[Date]]</f>
        <v>46108</v>
      </c>
      <c r="B234" s="8">
        <f>Table1[[#This Row],[Price]]</f>
        <v>248.8</v>
      </c>
      <c r="C234" s="4">
        <f t="shared" si="12"/>
        <v>-1.6173039661512813E-2</v>
      </c>
      <c r="D234" s="8">
        <f t="shared" si="13"/>
        <v>251.13800000000001</v>
      </c>
      <c r="E234" s="8">
        <f t="shared" si="14"/>
        <v>255.37600000000003</v>
      </c>
      <c r="F234" s="8">
        <f t="shared" si="11"/>
        <v>260.28539999999998</v>
      </c>
    </row>
    <row r="235" spans="1:6" x14ac:dyDescent="0.3">
      <c r="A235" s="2">
        <f>Table1[[#This Row],[Date]]</f>
        <v>46111</v>
      </c>
      <c r="B235" s="8">
        <f>Table1[[#This Row],[Price]]</f>
        <v>246.63</v>
      </c>
      <c r="C235" s="4">
        <f t="shared" si="12"/>
        <v>-8.7218649517685522E-3</v>
      </c>
      <c r="D235" s="8">
        <f t="shared" si="13"/>
        <v>250.51900000000001</v>
      </c>
      <c r="E235" s="8">
        <f t="shared" si="14"/>
        <v>254.47150000000005</v>
      </c>
      <c r="F235" s="8">
        <f t="shared" si="11"/>
        <v>260.05379999999997</v>
      </c>
    </row>
    <row r="236" spans="1:6" x14ac:dyDescent="0.3">
      <c r="A236" s="2">
        <f>Table1[[#This Row],[Date]]</f>
        <v>46112</v>
      </c>
      <c r="B236" s="8">
        <f>Table1[[#This Row],[Price]]</f>
        <v>253.79</v>
      </c>
      <c r="C236" s="4">
        <f t="shared" si="12"/>
        <v>2.9031342496857626E-2</v>
      </c>
      <c r="D236" s="8">
        <f t="shared" si="13"/>
        <v>250.47499999999997</v>
      </c>
      <c r="E236" s="8">
        <f t="shared" si="14"/>
        <v>253.9735</v>
      </c>
      <c r="F236" s="8">
        <f t="shared" si="11"/>
        <v>260.01900000000001</v>
      </c>
    </row>
    <row r="237" spans="1:6" x14ac:dyDescent="0.3">
      <c r="A237" s="2">
        <f>Table1[[#This Row],[Date]]</f>
        <v>46113</v>
      </c>
      <c r="B237" s="8">
        <f>Table1[[#This Row],[Price]]</f>
        <v>255.63</v>
      </c>
      <c r="C237" s="4">
        <f t="shared" si="12"/>
        <v>7.2500886559754268E-3</v>
      </c>
      <c r="D237" s="8">
        <f t="shared" si="13"/>
        <v>251.04400000000001</v>
      </c>
      <c r="E237" s="8">
        <f t="shared" si="14"/>
        <v>253.62899999999999</v>
      </c>
      <c r="F237" s="8">
        <f t="shared" si="11"/>
        <v>260.19759999999997</v>
      </c>
    </row>
    <row r="238" spans="1:6" x14ac:dyDescent="0.3">
      <c r="A238" s="2">
        <f>Table1[[#This Row],[Date]]</f>
        <v>46114</v>
      </c>
      <c r="B238" s="8">
        <f>Table1[[#This Row],[Price]]</f>
        <v>255.92</v>
      </c>
      <c r="C238" s="4">
        <f t="shared" si="12"/>
        <v>1.1344521378554631E-3</v>
      </c>
      <c r="D238" s="8">
        <f t="shared" si="13"/>
        <v>251.74</v>
      </c>
      <c r="E238" s="8">
        <f t="shared" si="14"/>
        <v>253.41049999999996</v>
      </c>
      <c r="F238" s="8">
        <f t="shared" si="11"/>
        <v>260.36299999999994</v>
      </c>
    </row>
    <row r="239" spans="1:6" x14ac:dyDescent="0.3">
      <c r="A239" s="2">
        <f>Table1[[#This Row],[Date]]</f>
        <v>46118</v>
      </c>
      <c r="B239" s="8">
        <f>Table1[[#This Row],[Price]]</f>
        <v>258.86</v>
      </c>
      <c r="C239" s="4">
        <f t="shared" si="12"/>
        <v>1.1487964989059183E-2</v>
      </c>
      <c r="D239" s="8">
        <f t="shared" si="13"/>
        <v>252.82700000000006</v>
      </c>
      <c r="E239" s="8">
        <f t="shared" si="14"/>
        <v>253.48049999999998</v>
      </c>
      <c r="F239" s="8">
        <f t="shared" si="11"/>
        <v>260.57319999999999</v>
      </c>
    </row>
    <row r="240" spans="1:6" x14ac:dyDescent="0.3">
      <c r="A240" s="2">
        <f>Table1[[#This Row],[Date]]</f>
        <v>46119</v>
      </c>
      <c r="B240" s="8">
        <f>Table1[[#This Row],[Price]]</f>
        <v>253.5</v>
      </c>
      <c r="C240" s="4">
        <f t="shared" si="12"/>
        <v>-2.0706173221046176E-2</v>
      </c>
      <c r="D240" s="8">
        <f t="shared" si="13"/>
        <v>253.02800000000002</v>
      </c>
      <c r="E240" s="8">
        <f t="shared" si="14"/>
        <v>253.16149999999999</v>
      </c>
      <c r="F240" s="8">
        <f t="shared" si="11"/>
        <v>260.68239999999997</v>
      </c>
    </row>
    <row r="241" spans="1:6" x14ac:dyDescent="0.3">
      <c r="A241" s="2">
        <f>Table1[[#This Row],[Date]]</f>
        <v>46120</v>
      </c>
      <c r="B241" s="8">
        <f>Table1[[#This Row],[Price]]</f>
        <v>258.89999999999998</v>
      </c>
      <c r="C241" s="4">
        <f t="shared" si="12"/>
        <v>2.1301775147928904E-2</v>
      </c>
      <c r="D241" s="8">
        <f t="shared" si="13"/>
        <v>253.75400000000005</v>
      </c>
      <c r="E241" s="8">
        <f t="shared" si="14"/>
        <v>253.06499999999997</v>
      </c>
      <c r="F241" s="8">
        <f t="shared" si="11"/>
        <v>260.75220000000002</v>
      </c>
    </row>
    <row r="242" spans="1:6" x14ac:dyDescent="0.3">
      <c r="A242" s="2">
        <f>Table1[[#This Row],[Date]]</f>
        <v>46121</v>
      </c>
      <c r="B242" s="8">
        <f>Table1[[#This Row],[Price]]</f>
        <v>260.49</v>
      </c>
      <c r="C242" s="4">
        <f t="shared" si="12"/>
        <v>6.1413673232909695E-3</v>
      </c>
      <c r="D242" s="8">
        <f t="shared" si="13"/>
        <v>254.541</v>
      </c>
      <c r="E242" s="8">
        <f t="shared" si="14"/>
        <v>253.04899999999998</v>
      </c>
      <c r="F242" s="8">
        <f t="shared" si="11"/>
        <v>260.79660000000001</v>
      </c>
    </row>
    <row r="243" spans="1:6" x14ac:dyDescent="0.3">
      <c r="A243" s="2">
        <f>Table1[[#This Row],[Date]]</f>
        <v>46122</v>
      </c>
      <c r="B243" s="8">
        <f>Table1[[#This Row],[Price]]</f>
        <v>260.48</v>
      </c>
      <c r="C243" s="4">
        <f t="shared" si="12"/>
        <v>-3.838918960417254E-5</v>
      </c>
      <c r="D243" s="8">
        <f t="shared" si="13"/>
        <v>255.30000000000004</v>
      </c>
      <c r="E243" s="8">
        <f t="shared" si="14"/>
        <v>253.28499999999994</v>
      </c>
      <c r="F243" s="8">
        <f t="shared" si="11"/>
        <v>260.87739999999997</v>
      </c>
    </row>
    <row r="244" spans="1:6" x14ac:dyDescent="0.3">
      <c r="A244" s="2">
        <f>Table1[[#This Row],[Date]]</f>
        <v>46125</v>
      </c>
      <c r="B244" s="8">
        <f>Table1[[#This Row],[Price]]</f>
        <v>259.2</v>
      </c>
      <c r="C244" s="4">
        <f t="shared" si="12"/>
        <v>-4.9140049140050275E-3</v>
      </c>
      <c r="D244" s="8">
        <f t="shared" si="13"/>
        <v>256.33999999999997</v>
      </c>
      <c r="E244" s="8">
        <f t="shared" si="14"/>
        <v>253.73899999999998</v>
      </c>
      <c r="F244" s="8">
        <f t="shared" ref="F244:F253" si="15">AVERAGE(B195:B244)</f>
        <v>260.89580000000001</v>
      </c>
    </row>
    <row r="245" spans="1:6" x14ac:dyDescent="0.3">
      <c r="A245" s="2">
        <f>Table1[[#This Row],[Date]]</f>
        <v>46126</v>
      </c>
      <c r="B245" s="8">
        <f>Table1[[#This Row],[Price]]</f>
        <v>258.83</v>
      </c>
      <c r="C245" s="4">
        <f t="shared" si="12"/>
        <v>-1.4274691358024867E-3</v>
      </c>
      <c r="D245" s="8">
        <f t="shared" si="13"/>
        <v>257.55999999999995</v>
      </c>
      <c r="E245" s="8">
        <f t="shared" si="14"/>
        <v>254.0395</v>
      </c>
      <c r="F245" s="8">
        <f t="shared" si="15"/>
        <v>260.88279999999997</v>
      </c>
    </row>
    <row r="246" spans="1:6" x14ac:dyDescent="0.3">
      <c r="A246" s="2">
        <f>Table1[[#This Row],[Date]]</f>
        <v>46127</v>
      </c>
      <c r="B246" s="8">
        <f>Table1[[#This Row],[Price]]</f>
        <v>266.43</v>
      </c>
      <c r="C246" s="4">
        <f t="shared" si="12"/>
        <v>2.9362902291079178E-2</v>
      </c>
      <c r="D246" s="8">
        <f t="shared" si="13"/>
        <v>258.82399999999996</v>
      </c>
      <c r="E246" s="8">
        <f t="shared" si="14"/>
        <v>254.64950000000005</v>
      </c>
      <c r="F246" s="8">
        <f t="shared" si="15"/>
        <v>260.81119999999993</v>
      </c>
    </row>
    <row r="247" spans="1:6" x14ac:dyDescent="0.3">
      <c r="A247" s="2">
        <f>Table1[[#This Row],[Date]]</f>
        <v>46128</v>
      </c>
      <c r="B247" s="8">
        <f>Table1[[#This Row],[Price]]</f>
        <v>263.39999999999998</v>
      </c>
      <c r="C247" s="4">
        <f t="shared" si="12"/>
        <v>-1.1372593176444205E-2</v>
      </c>
      <c r="D247" s="8">
        <f t="shared" si="13"/>
        <v>259.601</v>
      </c>
      <c r="E247" s="8">
        <f t="shared" si="14"/>
        <v>255.32250000000005</v>
      </c>
      <c r="F247" s="8">
        <f t="shared" si="15"/>
        <v>260.68959999999998</v>
      </c>
    </row>
    <row r="248" spans="1:6" x14ac:dyDescent="0.3">
      <c r="A248" s="2">
        <f>Table1[[#This Row],[Date]]</f>
        <v>46129</v>
      </c>
      <c r="B248" s="8">
        <f>Table1[[#This Row],[Price]]</f>
        <v>270.23</v>
      </c>
      <c r="C248" s="4">
        <f t="shared" si="12"/>
        <v>2.5930144267274264E-2</v>
      </c>
      <c r="D248" s="8">
        <f t="shared" si="13"/>
        <v>261.03200000000004</v>
      </c>
      <c r="E248" s="8">
        <f t="shared" si="14"/>
        <v>256.38600000000008</v>
      </c>
      <c r="F248" s="8">
        <f t="shared" si="15"/>
        <v>260.56439999999998</v>
      </c>
    </row>
    <row r="249" spans="1:6" x14ac:dyDescent="0.3">
      <c r="A249" s="2">
        <f>Table1[[#This Row],[Date]]</f>
        <v>46132</v>
      </c>
      <c r="B249" s="8">
        <f>Table1[[#This Row],[Price]]</f>
        <v>273.05</v>
      </c>
      <c r="C249" s="4">
        <f t="shared" si="12"/>
        <v>1.0435554897679729E-2</v>
      </c>
      <c r="D249" s="8">
        <f t="shared" si="13"/>
        <v>262.45100000000002</v>
      </c>
      <c r="E249" s="8">
        <f t="shared" si="14"/>
        <v>257.63900000000001</v>
      </c>
      <c r="F249" s="8">
        <f t="shared" si="15"/>
        <v>260.50719999999995</v>
      </c>
    </row>
    <row r="250" spans="1:6" x14ac:dyDescent="0.3">
      <c r="A250" s="2">
        <f>Table1[[#This Row],[Date]]</f>
        <v>46133</v>
      </c>
      <c r="B250" s="8">
        <f>Table1[[#This Row],[Price]]</f>
        <v>266.17</v>
      </c>
      <c r="C250" s="4">
        <f t="shared" si="12"/>
        <v>-2.519685039370077E-2</v>
      </c>
      <c r="D250" s="8">
        <f t="shared" si="13"/>
        <v>263.71800000000002</v>
      </c>
      <c r="E250" s="8">
        <f t="shared" si="14"/>
        <v>258.37299999999999</v>
      </c>
      <c r="F250" s="8">
        <f t="shared" si="15"/>
        <v>260.26819999999992</v>
      </c>
    </row>
    <row r="251" spans="1:6" x14ac:dyDescent="0.3">
      <c r="A251" s="2">
        <f>Table1[[#This Row],[Date]]</f>
        <v>46134</v>
      </c>
      <c r="B251" s="8">
        <f>Table1[[#This Row],[Price]]</f>
        <v>273.17</v>
      </c>
      <c r="C251" s="4">
        <f t="shared" si="12"/>
        <v>2.6298981853702521E-2</v>
      </c>
      <c r="D251" s="8">
        <f t="shared" si="13"/>
        <v>265.14500000000004</v>
      </c>
      <c r="E251" s="8">
        <f t="shared" si="14"/>
        <v>259.44950000000006</v>
      </c>
      <c r="F251" s="8">
        <f t="shared" si="15"/>
        <v>260.23919999999993</v>
      </c>
    </row>
    <row r="252" spans="1:6" x14ac:dyDescent="0.3">
      <c r="A252" s="2">
        <f>Table1[[#This Row],[Date]]</f>
        <v>46135</v>
      </c>
      <c r="B252" s="8">
        <f>Table1[[#This Row],[Price]]</f>
        <v>273.43</v>
      </c>
      <c r="C252" s="4">
        <f t="shared" si="12"/>
        <v>9.5178826371853016E-4</v>
      </c>
      <c r="D252" s="8">
        <f t="shared" si="13"/>
        <v>266.43899999999996</v>
      </c>
      <c r="E252" s="8">
        <f t="shared" si="14"/>
        <v>260.49</v>
      </c>
      <c r="F252" s="8">
        <f t="shared" si="15"/>
        <v>260.23419999999993</v>
      </c>
    </row>
    <row r="253" spans="1:6" x14ac:dyDescent="0.3">
      <c r="A253" s="2">
        <f>Table1[[#This Row],[Date]]</f>
        <v>46136</v>
      </c>
      <c r="B253" s="8">
        <f>Table1[[#This Row],[Price]]</f>
        <v>271.06</v>
      </c>
      <c r="C253" s="4">
        <f t="shared" si="12"/>
        <v>-8.6676663131331766E-3</v>
      </c>
      <c r="D253" s="8">
        <f t="shared" si="13"/>
        <v>267.49699999999996</v>
      </c>
      <c r="E253" s="8">
        <f t="shared" si="14"/>
        <v>261.39850000000007</v>
      </c>
      <c r="F253" s="8">
        <f t="shared" si="15"/>
        <v>260.14539999999994</v>
      </c>
    </row>
    <row r="254" spans="1:6" x14ac:dyDescent="0.3">
      <c r="A254" s="2"/>
    </row>
  </sheetData>
  <mergeCells count="9">
    <mergeCell ref="H28:J28"/>
    <mergeCell ref="H29:J30"/>
    <mergeCell ref="H31:J32"/>
    <mergeCell ref="H7:J7"/>
    <mergeCell ref="H36:L36"/>
    <mergeCell ref="H37:L37"/>
    <mergeCell ref="H38:L38"/>
    <mergeCell ref="H35:L35"/>
    <mergeCell ref="H39:L39"/>
  </mergeCells>
  <pageMargins left="0.7" right="0.7" top="0.75" bottom="0.75" header="0.3" footer="0.3"/>
  <pageSetup paperSize="9" orientation="portrait" horizontalDpi="0" verticalDpi="0" r:id="rId1"/>
  <ignoredErrors>
    <ignoredError sqref="C2" calculatedColumn="1"/>
  </ignoredErrors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DFC2A-C89C-4D4E-B651-D76144376BB4}">
  <dimension ref="A1:G253"/>
  <sheetViews>
    <sheetView workbookViewId="0">
      <selection activeCell="I237" sqref="I237"/>
    </sheetView>
  </sheetViews>
  <sheetFormatPr defaultColWidth="12.77734375" defaultRowHeight="14.4" x14ac:dyDescent="0.3"/>
  <cols>
    <col min="1" max="16384" width="12.77734375" style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>
        <v>45771</v>
      </c>
      <c r="B2" s="1">
        <v>208.37</v>
      </c>
      <c r="C2" s="1">
        <v>204.89</v>
      </c>
      <c r="D2" s="1">
        <v>208.83</v>
      </c>
      <c r="E2" s="1">
        <v>202.94</v>
      </c>
      <c r="F2" s="1" t="s">
        <v>250</v>
      </c>
      <c r="G2" s="3">
        <v>1.84E-2</v>
      </c>
    </row>
    <row r="3" spans="1:7" x14ac:dyDescent="0.3">
      <c r="A3" s="2">
        <v>45772</v>
      </c>
      <c r="B3" s="1">
        <v>209.28</v>
      </c>
      <c r="C3" s="1">
        <v>206.37</v>
      </c>
      <c r="D3" s="1">
        <v>209.75</v>
      </c>
      <c r="E3" s="1">
        <v>206.2</v>
      </c>
      <c r="F3" s="1" t="s">
        <v>39</v>
      </c>
      <c r="G3" s="3">
        <v>4.4000000000000003E-3</v>
      </c>
    </row>
    <row r="4" spans="1:7" x14ac:dyDescent="0.3">
      <c r="A4" s="2">
        <v>45775</v>
      </c>
      <c r="B4" s="1">
        <v>210.14</v>
      </c>
      <c r="C4" s="1">
        <v>210</v>
      </c>
      <c r="D4" s="1">
        <v>211.5</v>
      </c>
      <c r="E4" s="1">
        <v>207.46</v>
      </c>
      <c r="F4" s="1" t="s">
        <v>249</v>
      </c>
      <c r="G4" s="3">
        <v>4.1000000000000003E-3</v>
      </c>
    </row>
    <row r="5" spans="1:7" x14ac:dyDescent="0.3">
      <c r="A5" s="2">
        <v>45776</v>
      </c>
      <c r="B5" s="1">
        <v>211.21</v>
      </c>
      <c r="C5" s="1">
        <v>208.69</v>
      </c>
      <c r="D5" s="1">
        <v>212.24</v>
      </c>
      <c r="E5" s="1">
        <v>208.37</v>
      </c>
      <c r="F5" s="1" t="s">
        <v>248</v>
      </c>
      <c r="G5" s="3">
        <v>5.1000000000000004E-3</v>
      </c>
    </row>
    <row r="6" spans="1:7" x14ac:dyDescent="0.3">
      <c r="A6" s="2">
        <v>45777</v>
      </c>
      <c r="B6" s="1">
        <v>212.5</v>
      </c>
      <c r="C6" s="1">
        <v>209.3</v>
      </c>
      <c r="D6" s="1">
        <v>213.58</v>
      </c>
      <c r="E6" s="1">
        <v>206.67</v>
      </c>
      <c r="F6" s="1" t="s">
        <v>247</v>
      </c>
      <c r="G6" s="3">
        <v>6.1000000000000004E-3</v>
      </c>
    </row>
    <row r="7" spans="1:7" x14ac:dyDescent="0.3">
      <c r="A7" s="2">
        <v>45778</v>
      </c>
      <c r="B7" s="1">
        <v>213.32</v>
      </c>
      <c r="C7" s="1">
        <v>209.08</v>
      </c>
      <c r="D7" s="1">
        <v>214.56</v>
      </c>
      <c r="E7" s="1">
        <v>208.9</v>
      </c>
      <c r="F7" s="1" t="s">
        <v>246</v>
      </c>
      <c r="G7" s="3">
        <v>3.8999999999999998E-3</v>
      </c>
    </row>
    <row r="8" spans="1:7" x14ac:dyDescent="0.3">
      <c r="A8" s="2">
        <v>45779</v>
      </c>
      <c r="B8" s="1">
        <v>205.35</v>
      </c>
      <c r="C8" s="1">
        <v>206.09</v>
      </c>
      <c r="D8" s="1">
        <v>206.99</v>
      </c>
      <c r="E8" s="1">
        <v>202.16</v>
      </c>
      <c r="F8" s="1" t="s">
        <v>245</v>
      </c>
      <c r="G8" s="3">
        <v>-3.7400000000000003E-2</v>
      </c>
    </row>
    <row r="9" spans="1:7" x14ac:dyDescent="0.3">
      <c r="A9" s="2">
        <v>45782</v>
      </c>
      <c r="B9" s="1">
        <v>198.89</v>
      </c>
      <c r="C9" s="1">
        <v>203.1</v>
      </c>
      <c r="D9" s="1">
        <v>204.1</v>
      </c>
      <c r="E9" s="1">
        <v>198.21</v>
      </c>
      <c r="F9" s="1" t="s">
        <v>244</v>
      </c>
      <c r="G9" s="3">
        <v>-3.15E-2</v>
      </c>
    </row>
    <row r="10" spans="1:7" x14ac:dyDescent="0.3">
      <c r="A10" s="2">
        <v>45783</v>
      </c>
      <c r="B10" s="1">
        <v>198.51</v>
      </c>
      <c r="C10" s="1">
        <v>198.21</v>
      </c>
      <c r="D10" s="1">
        <v>200.65</v>
      </c>
      <c r="E10" s="1">
        <v>197.02</v>
      </c>
      <c r="F10" s="1" t="s">
        <v>243</v>
      </c>
      <c r="G10" s="3">
        <v>-1.9E-3</v>
      </c>
    </row>
    <row r="11" spans="1:7" x14ac:dyDescent="0.3">
      <c r="A11" s="2">
        <v>45784</v>
      </c>
      <c r="B11" s="1">
        <v>196.25</v>
      </c>
      <c r="C11" s="1">
        <v>199.17</v>
      </c>
      <c r="D11" s="1">
        <v>199.44</v>
      </c>
      <c r="E11" s="1">
        <v>193.25</v>
      </c>
      <c r="F11" s="1" t="s">
        <v>242</v>
      </c>
      <c r="G11" s="3">
        <v>-1.14E-2</v>
      </c>
    </row>
    <row r="12" spans="1:7" x14ac:dyDescent="0.3">
      <c r="A12" s="2">
        <v>45785</v>
      </c>
      <c r="B12" s="1">
        <v>197.49</v>
      </c>
      <c r="C12" s="1">
        <v>197.72</v>
      </c>
      <c r="D12" s="1">
        <v>200.05</v>
      </c>
      <c r="E12" s="1">
        <v>194.68</v>
      </c>
      <c r="F12" s="1" t="s">
        <v>241</v>
      </c>
      <c r="G12" s="3">
        <v>6.3E-3</v>
      </c>
    </row>
    <row r="13" spans="1:7" x14ac:dyDescent="0.3">
      <c r="A13" s="2">
        <v>45786</v>
      </c>
      <c r="B13" s="1">
        <v>198.53</v>
      </c>
      <c r="C13" s="1">
        <v>199</v>
      </c>
      <c r="D13" s="1">
        <v>200.54</v>
      </c>
      <c r="E13" s="1">
        <v>197.54</v>
      </c>
      <c r="F13" s="1" t="s">
        <v>240</v>
      </c>
      <c r="G13" s="3">
        <v>5.3E-3</v>
      </c>
    </row>
    <row r="14" spans="1:7" x14ac:dyDescent="0.3">
      <c r="A14" s="2">
        <v>45789</v>
      </c>
      <c r="B14" s="1">
        <v>210.79</v>
      </c>
      <c r="C14" s="1">
        <v>210.97</v>
      </c>
      <c r="D14" s="1">
        <v>211.27</v>
      </c>
      <c r="E14" s="1">
        <v>206.75</v>
      </c>
      <c r="F14" s="1" t="s">
        <v>239</v>
      </c>
      <c r="G14" s="3">
        <v>6.1800000000000001E-2</v>
      </c>
    </row>
    <row r="15" spans="1:7" x14ac:dyDescent="0.3">
      <c r="A15" s="2">
        <v>45790</v>
      </c>
      <c r="B15" s="1">
        <v>212.93</v>
      </c>
      <c r="C15" s="1">
        <v>210.43</v>
      </c>
      <c r="D15" s="1">
        <v>213.4</v>
      </c>
      <c r="E15" s="1">
        <v>209</v>
      </c>
      <c r="F15" s="1" t="s">
        <v>238</v>
      </c>
      <c r="G15" s="3">
        <v>1.0200000000000001E-2</v>
      </c>
    </row>
    <row r="16" spans="1:7" x14ac:dyDescent="0.3">
      <c r="A16" s="2">
        <v>45791</v>
      </c>
      <c r="B16" s="1">
        <v>212.33</v>
      </c>
      <c r="C16" s="1">
        <v>212.43</v>
      </c>
      <c r="D16" s="1">
        <v>213.94</v>
      </c>
      <c r="E16" s="1">
        <v>210.58</v>
      </c>
      <c r="F16" s="1" t="s">
        <v>237</v>
      </c>
      <c r="G16" s="3">
        <v>-2.8E-3</v>
      </c>
    </row>
    <row r="17" spans="1:7" x14ac:dyDescent="0.3">
      <c r="A17" s="2">
        <v>45792</v>
      </c>
      <c r="B17" s="1">
        <v>211.45</v>
      </c>
      <c r="C17" s="1">
        <v>210.95</v>
      </c>
      <c r="D17" s="1">
        <v>212.96</v>
      </c>
      <c r="E17" s="1">
        <v>209.54</v>
      </c>
      <c r="F17" s="1" t="s">
        <v>236</v>
      </c>
      <c r="G17" s="3">
        <v>-4.1000000000000003E-3</v>
      </c>
    </row>
    <row r="18" spans="1:7" x14ac:dyDescent="0.3">
      <c r="A18" s="2">
        <v>45793</v>
      </c>
      <c r="B18" s="1">
        <v>211.26</v>
      </c>
      <c r="C18" s="1">
        <v>212.36</v>
      </c>
      <c r="D18" s="1">
        <v>212.57</v>
      </c>
      <c r="E18" s="1">
        <v>209.77</v>
      </c>
      <c r="F18" s="1" t="s">
        <v>235</v>
      </c>
      <c r="G18" s="3">
        <v>-8.9999999999999998E-4</v>
      </c>
    </row>
    <row r="19" spans="1:7" x14ac:dyDescent="0.3">
      <c r="A19" s="2">
        <v>45796</v>
      </c>
      <c r="B19" s="1">
        <v>208.78</v>
      </c>
      <c r="C19" s="1">
        <v>207.91</v>
      </c>
      <c r="D19" s="1">
        <v>209.48</v>
      </c>
      <c r="E19" s="1">
        <v>204.26</v>
      </c>
      <c r="F19" s="1" t="s">
        <v>234</v>
      </c>
      <c r="G19" s="3">
        <v>-1.17E-2</v>
      </c>
    </row>
    <row r="20" spans="1:7" x14ac:dyDescent="0.3">
      <c r="A20" s="2">
        <v>45797</v>
      </c>
      <c r="B20" s="1">
        <v>206.86</v>
      </c>
      <c r="C20" s="1">
        <v>207.67</v>
      </c>
      <c r="D20" s="1">
        <v>208.47</v>
      </c>
      <c r="E20" s="1">
        <v>205.03</v>
      </c>
      <c r="F20" s="1" t="s">
        <v>233</v>
      </c>
      <c r="G20" s="3">
        <v>-9.1999999999999998E-3</v>
      </c>
    </row>
    <row r="21" spans="1:7" x14ac:dyDescent="0.3">
      <c r="A21" s="2">
        <v>45798</v>
      </c>
      <c r="B21" s="1">
        <v>202.09</v>
      </c>
      <c r="C21" s="1">
        <v>205.17</v>
      </c>
      <c r="D21" s="1">
        <v>207.04</v>
      </c>
      <c r="E21" s="1">
        <v>200.71</v>
      </c>
      <c r="F21" s="1" t="s">
        <v>232</v>
      </c>
      <c r="G21" s="3">
        <v>-2.3099999999999999E-2</v>
      </c>
    </row>
    <row r="22" spans="1:7" x14ac:dyDescent="0.3">
      <c r="A22" s="2">
        <v>45799</v>
      </c>
      <c r="B22" s="1">
        <v>201.36</v>
      </c>
      <c r="C22" s="1">
        <v>200.71</v>
      </c>
      <c r="D22" s="1">
        <v>202.75</v>
      </c>
      <c r="E22" s="1">
        <v>199.7</v>
      </c>
      <c r="F22" s="1" t="s">
        <v>231</v>
      </c>
      <c r="G22" s="3">
        <v>-3.5999999999999999E-3</v>
      </c>
    </row>
    <row r="23" spans="1:7" x14ac:dyDescent="0.3">
      <c r="A23" s="2">
        <v>45800</v>
      </c>
      <c r="B23" s="1">
        <v>195.27</v>
      </c>
      <c r="C23" s="1">
        <v>193.66</v>
      </c>
      <c r="D23" s="1">
        <v>197.7</v>
      </c>
      <c r="E23" s="1">
        <v>193.46</v>
      </c>
      <c r="F23" s="1" t="s">
        <v>230</v>
      </c>
      <c r="G23" s="3">
        <v>-3.0200000000000001E-2</v>
      </c>
    </row>
    <row r="24" spans="1:7" x14ac:dyDescent="0.3">
      <c r="A24" s="2">
        <v>45804</v>
      </c>
      <c r="B24" s="1">
        <v>200.21</v>
      </c>
      <c r="C24" s="1">
        <v>198.3</v>
      </c>
      <c r="D24" s="1">
        <v>200.74</v>
      </c>
      <c r="E24" s="1">
        <v>197.43</v>
      </c>
      <c r="F24" s="1" t="s">
        <v>54</v>
      </c>
      <c r="G24" s="3">
        <v>2.53E-2</v>
      </c>
    </row>
    <row r="25" spans="1:7" x14ac:dyDescent="0.3">
      <c r="A25" s="2">
        <v>45805</v>
      </c>
      <c r="B25" s="1">
        <v>200.42</v>
      </c>
      <c r="C25" s="1">
        <v>200.59</v>
      </c>
      <c r="D25" s="1">
        <v>202.73</v>
      </c>
      <c r="E25" s="1">
        <v>199.9</v>
      </c>
      <c r="F25" s="1" t="s">
        <v>229</v>
      </c>
      <c r="G25" s="3">
        <v>1E-3</v>
      </c>
    </row>
    <row r="26" spans="1:7" x14ac:dyDescent="0.3">
      <c r="A26" s="2">
        <v>45806</v>
      </c>
      <c r="B26" s="1">
        <v>199.95</v>
      </c>
      <c r="C26" s="1">
        <v>203.57</v>
      </c>
      <c r="D26" s="1">
        <v>203.81</v>
      </c>
      <c r="E26" s="1">
        <v>198.51</v>
      </c>
      <c r="F26" s="1" t="s">
        <v>228</v>
      </c>
      <c r="G26" s="3">
        <v>-2.3E-3</v>
      </c>
    </row>
    <row r="27" spans="1:7" x14ac:dyDescent="0.3">
      <c r="A27" s="2">
        <v>45807</v>
      </c>
      <c r="B27" s="1">
        <v>200.85</v>
      </c>
      <c r="C27" s="1">
        <v>199.37</v>
      </c>
      <c r="D27" s="1">
        <v>201.96</v>
      </c>
      <c r="E27" s="1">
        <v>196.78</v>
      </c>
      <c r="F27" s="1" t="s">
        <v>227</v>
      </c>
      <c r="G27" s="3">
        <v>4.4999999999999997E-3</v>
      </c>
    </row>
    <row r="28" spans="1:7" x14ac:dyDescent="0.3">
      <c r="A28" s="2">
        <v>45810</v>
      </c>
      <c r="B28" s="1">
        <v>201.7</v>
      </c>
      <c r="C28" s="1">
        <v>200.28</v>
      </c>
      <c r="D28" s="1">
        <v>202.13</v>
      </c>
      <c r="E28" s="1">
        <v>200.12</v>
      </c>
      <c r="F28" s="1" t="s">
        <v>226</v>
      </c>
      <c r="G28" s="3">
        <v>4.1999999999999997E-3</v>
      </c>
    </row>
    <row r="29" spans="1:7" x14ac:dyDescent="0.3">
      <c r="A29" s="2">
        <v>45811</v>
      </c>
      <c r="B29" s="1">
        <v>203.27</v>
      </c>
      <c r="C29" s="1">
        <v>201.35</v>
      </c>
      <c r="D29" s="1">
        <v>203.77</v>
      </c>
      <c r="E29" s="1">
        <v>200.96</v>
      </c>
      <c r="F29" s="1" t="s">
        <v>225</v>
      </c>
      <c r="G29" s="3">
        <v>7.7999999999999996E-3</v>
      </c>
    </row>
    <row r="30" spans="1:7" x14ac:dyDescent="0.3">
      <c r="A30" s="2">
        <v>45812</v>
      </c>
      <c r="B30" s="1">
        <v>202.82</v>
      </c>
      <c r="C30" s="1">
        <v>202.91</v>
      </c>
      <c r="D30" s="1">
        <v>206.24</v>
      </c>
      <c r="E30" s="1">
        <v>202.1</v>
      </c>
      <c r="F30" s="1" t="s">
        <v>224</v>
      </c>
      <c r="G30" s="3">
        <v>-2.2000000000000001E-3</v>
      </c>
    </row>
    <row r="31" spans="1:7" x14ac:dyDescent="0.3">
      <c r="A31" s="2">
        <v>45813</v>
      </c>
      <c r="B31" s="1">
        <v>200.63</v>
      </c>
      <c r="C31" s="1">
        <v>203.5</v>
      </c>
      <c r="D31" s="1">
        <v>204.75</v>
      </c>
      <c r="E31" s="1">
        <v>200.15</v>
      </c>
      <c r="F31" s="1" t="s">
        <v>223</v>
      </c>
      <c r="G31" s="3">
        <v>-1.0800000000000001E-2</v>
      </c>
    </row>
    <row r="32" spans="1:7" x14ac:dyDescent="0.3">
      <c r="A32" s="2">
        <v>45814</v>
      </c>
      <c r="B32" s="1">
        <v>203.92</v>
      </c>
      <c r="C32" s="1">
        <v>203</v>
      </c>
      <c r="D32" s="1">
        <v>205.7</v>
      </c>
      <c r="E32" s="1">
        <v>202.05</v>
      </c>
      <c r="F32" s="1" t="s">
        <v>222</v>
      </c>
      <c r="G32" s="3">
        <v>1.6400000000000001E-2</v>
      </c>
    </row>
    <row r="33" spans="1:7" x14ac:dyDescent="0.3">
      <c r="A33" s="2">
        <v>45817</v>
      </c>
      <c r="B33" s="1">
        <v>201.45</v>
      </c>
      <c r="C33" s="1">
        <v>204.39</v>
      </c>
      <c r="D33" s="1">
        <v>206</v>
      </c>
      <c r="E33" s="1">
        <v>200.02</v>
      </c>
      <c r="F33" s="1" t="s">
        <v>221</v>
      </c>
      <c r="G33" s="3">
        <v>-1.21E-2</v>
      </c>
    </row>
    <row r="34" spans="1:7" x14ac:dyDescent="0.3">
      <c r="A34" s="2">
        <v>45818</v>
      </c>
      <c r="B34" s="1">
        <v>202.67</v>
      </c>
      <c r="C34" s="1">
        <v>200.6</v>
      </c>
      <c r="D34" s="1">
        <v>204.35</v>
      </c>
      <c r="E34" s="1">
        <v>200.57</v>
      </c>
      <c r="F34" s="1" t="s">
        <v>220</v>
      </c>
      <c r="G34" s="3">
        <v>6.1000000000000004E-3</v>
      </c>
    </row>
    <row r="35" spans="1:7" x14ac:dyDescent="0.3">
      <c r="A35" s="2">
        <v>45819</v>
      </c>
      <c r="B35" s="1">
        <v>198.78</v>
      </c>
      <c r="C35" s="1">
        <v>203.5</v>
      </c>
      <c r="D35" s="1">
        <v>204.5</v>
      </c>
      <c r="E35" s="1">
        <v>198.41</v>
      </c>
      <c r="F35" s="1" t="s">
        <v>219</v>
      </c>
      <c r="G35" s="3">
        <v>-1.9199999999999998E-2</v>
      </c>
    </row>
    <row r="36" spans="1:7" x14ac:dyDescent="0.3">
      <c r="A36" s="2">
        <v>45820</v>
      </c>
      <c r="B36" s="1">
        <v>199.2</v>
      </c>
      <c r="C36" s="1">
        <v>199.08</v>
      </c>
      <c r="D36" s="1">
        <v>199.68</v>
      </c>
      <c r="E36" s="1">
        <v>197.36</v>
      </c>
      <c r="F36" s="1" t="s">
        <v>218</v>
      </c>
      <c r="G36" s="3">
        <v>2.0999999999999999E-3</v>
      </c>
    </row>
    <row r="37" spans="1:7" x14ac:dyDescent="0.3">
      <c r="A37" s="2">
        <v>45821</v>
      </c>
      <c r="B37" s="1">
        <v>196.45</v>
      </c>
      <c r="C37" s="1">
        <v>199.73</v>
      </c>
      <c r="D37" s="1">
        <v>200.37</v>
      </c>
      <c r="E37" s="1">
        <v>195.7</v>
      </c>
      <c r="F37" s="1" t="s">
        <v>217</v>
      </c>
      <c r="G37" s="3">
        <v>-1.38E-2</v>
      </c>
    </row>
    <row r="38" spans="1:7" x14ac:dyDescent="0.3">
      <c r="A38" s="2">
        <v>45824</v>
      </c>
      <c r="B38" s="1">
        <v>198.42</v>
      </c>
      <c r="C38" s="1">
        <v>197.3</v>
      </c>
      <c r="D38" s="1">
        <v>198.68</v>
      </c>
      <c r="E38" s="1">
        <v>196.56</v>
      </c>
      <c r="F38" s="1" t="s">
        <v>216</v>
      </c>
      <c r="G38" s="3">
        <v>0.01</v>
      </c>
    </row>
    <row r="39" spans="1:7" x14ac:dyDescent="0.3">
      <c r="A39" s="2">
        <v>45825</v>
      </c>
      <c r="B39" s="1">
        <v>195.64</v>
      </c>
      <c r="C39" s="1">
        <v>197.2</v>
      </c>
      <c r="D39" s="1">
        <v>198.39</v>
      </c>
      <c r="E39" s="1">
        <v>195.21</v>
      </c>
      <c r="F39" s="1" t="s">
        <v>215</v>
      </c>
      <c r="G39" s="3">
        <v>-1.4E-2</v>
      </c>
    </row>
    <row r="40" spans="1:7" x14ac:dyDescent="0.3">
      <c r="A40" s="2">
        <v>45826</v>
      </c>
      <c r="B40" s="1">
        <v>196.58</v>
      </c>
      <c r="C40" s="1">
        <v>195.94</v>
      </c>
      <c r="D40" s="1">
        <v>197.57</v>
      </c>
      <c r="E40" s="1">
        <v>195.07</v>
      </c>
      <c r="F40" s="1" t="s">
        <v>214</v>
      </c>
      <c r="G40" s="3">
        <v>4.7999999999999996E-3</v>
      </c>
    </row>
    <row r="41" spans="1:7" x14ac:dyDescent="0.3">
      <c r="A41" s="2">
        <v>45828</v>
      </c>
      <c r="B41" s="1">
        <v>201</v>
      </c>
      <c r="C41" s="1">
        <v>198.24</v>
      </c>
      <c r="D41" s="1">
        <v>201.7</v>
      </c>
      <c r="E41" s="1">
        <v>196.85</v>
      </c>
      <c r="F41" s="1" t="s">
        <v>213</v>
      </c>
      <c r="G41" s="3">
        <v>2.2499999999999999E-2</v>
      </c>
    </row>
    <row r="42" spans="1:7" x14ac:dyDescent="0.3">
      <c r="A42" s="2">
        <v>45831</v>
      </c>
      <c r="B42" s="1">
        <v>201.5</v>
      </c>
      <c r="C42" s="1">
        <v>201.63</v>
      </c>
      <c r="D42" s="1">
        <v>202.3</v>
      </c>
      <c r="E42" s="1">
        <v>198.96</v>
      </c>
      <c r="F42" s="1" t="s">
        <v>212</v>
      </c>
      <c r="G42" s="3">
        <v>2.5000000000000001E-3</v>
      </c>
    </row>
    <row r="43" spans="1:7" x14ac:dyDescent="0.3">
      <c r="A43" s="2">
        <v>45832</v>
      </c>
      <c r="B43" s="1">
        <v>200.3</v>
      </c>
      <c r="C43" s="1">
        <v>202.59</v>
      </c>
      <c r="D43" s="1">
        <v>203.44</v>
      </c>
      <c r="E43" s="1">
        <v>200.2</v>
      </c>
      <c r="F43" s="1" t="s">
        <v>211</v>
      </c>
      <c r="G43" s="3">
        <v>-6.0000000000000001E-3</v>
      </c>
    </row>
    <row r="44" spans="1:7" x14ac:dyDescent="0.3">
      <c r="A44" s="2">
        <v>45833</v>
      </c>
      <c r="B44" s="1">
        <v>201.56</v>
      </c>
      <c r="C44" s="1">
        <v>201.45</v>
      </c>
      <c r="D44" s="1">
        <v>203.67</v>
      </c>
      <c r="E44" s="1">
        <v>200.62</v>
      </c>
      <c r="F44" s="1" t="s">
        <v>96</v>
      </c>
      <c r="G44" s="3">
        <v>6.3E-3</v>
      </c>
    </row>
    <row r="45" spans="1:7" x14ac:dyDescent="0.3">
      <c r="A45" s="2">
        <v>45834</v>
      </c>
      <c r="B45" s="1">
        <v>201</v>
      </c>
      <c r="C45" s="1">
        <v>201.43</v>
      </c>
      <c r="D45" s="1">
        <v>202.64</v>
      </c>
      <c r="E45" s="1">
        <v>199.46</v>
      </c>
      <c r="F45" s="1" t="s">
        <v>210</v>
      </c>
      <c r="G45" s="3">
        <v>-2.8E-3</v>
      </c>
    </row>
    <row r="46" spans="1:7" x14ac:dyDescent="0.3">
      <c r="A46" s="2">
        <v>45835</v>
      </c>
      <c r="B46" s="1">
        <v>201.08</v>
      </c>
      <c r="C46" s="1">
        <v>201.89</v>
      </c>
      <c r="D46" s="1">
        <v>203.22</v>
      </c>
      <c r="E46" s="1">
        <v>200</v>
      </c>
      <c r="F46" s="1" t="s">
        <v>209</v>
      </c>
      <c r="G46" s="3">
        <v>4.0000000000000002E-4</v>
      </c>
    </row>
    <row r="47" spans="1:7" x14ac:dyDescent="0.3">
      <c r="A47" s="2">
        <v>45838</v>
      </c>
      <c r="B47" s="1">
        <v>205.17</v>
      </c>
      <c r="C47" s="1">
        <v>202.01</v>
      </c>
      <c r="D47" s="1">
        <v>207.39</v>
      </c>
      <c r="E47" s="1">
        <v>199.26</v>
      </c>
      <c r="F47" s="1" t="s">
        <v>208</v>
      </c>
      <c r="G47" s="3">
        <v>2.0299999999999999E-2</v>
      </c>
    </row>
    <row r="48" spans="1:7" x14ac:dyDescent="0.3">
      <c r="A48" s="2">
        <v>45839</v>
      </c>
      <c r="B48" s="1">
        <v>207.82</v>
      </c>
      <c r="C48" s="1">
        <v>206.66</v>
      </c>
      <c r="D48" s="1">
        <v>210.19</v>
      </c>
      <c r="E48" s="1">
        <v>206.14</v>
      </c>
      <c r="F48" s="1" t="s">
        <v>207</v>
      </c>
      <c r="G48" s="3">
        <v>1.29E-2</v>
      </c>
    </row>
    <row r="49" spans="1:7" x14ac:dyDescent="0.3">
      <c r="A49" s="2">
        <v>45840</v>
      </c>
      <c r="B49" s="1">
        <v>212.44</v>
      </c>
      <c r="C49" s="1">
        <v>208.91</v>
      </c>
      <c r="D49" s="1">
        <v>213.34</v>
      </c>
      <c r="E49" s="1">
        <v>208.14</v>
      </c>
      <c r="F49" s="1" t="s">
        <v>206</v>
      </c>
      <c r="G49" s="3">
        <v>2.2200000000000001E-2</v>
      </c>
    </row>
    <row r="50" spans="1:7" x14ac:dyDescent="0.3">
      <c r="A50" s="2">
        <v>45841</v>
      </c>
      <c r="B50" s="1">
        <v>213.55</v>
      </c>
      <c r="C50" s="1">
        <v>212.15</v>
      </c>
      <c r="D50" s="1">
        <v>214.65</v>
      </c>
      <c r="E50" s="1">
        <v>211.81</v>
      </c>
      <c r="F50" s="1" t="s">
        <v>205</v>
      </c>
      <c r="G50" s="3">
        <v>5.1999999999999998E-3</v>
      </c>
    </row>
    <row r="51" spans="1:7" x14ac:dyDescent="0.3">
      <c r="A51" s="2">
        <v>45845</v>
      </c>
      <c r="B51" s="1">
        <v>209.95</v>
      </c>
      <c r="C51" s="1">
        <v>212.68</v>
      </c>
      <c r="D51" s="1">
        <v>216.23</v>
      </c>
      <c r="E51" s="1">
        <v>208.8</v>
      </c>
      <c r="F51" s="1" t="s">
        <v>204</v>
      </c>
      <c r="G51" s="3">
        <v>-1.6899999999999998E-2</v>
      </c>
    </row>
    <row r="52" spans="1:7" x14ac:dyDescent="0.3">
      <c r="A52" s="2">
        <v>45846</v>
      </c>
      <c r="B52" s="1">
        <v>210.01</v>
      </c>
      <c r="C52" s="1">
        <v>210.1</v>
      </c>
      <c r="D52" s="1">
        <v>211.43</v>
      </c>
      <c r="E52" s="1">
        <v>208.45</v>
      </c>
      <c r="F52" s="1" t="s">
        <v>203</v>
      </c>
      <c r="G52" s="3">
        <v>2.9999999999999997E-4</v>
      </c>
    </row>
    <row r="53" spans="1:7" x14ac:dyDescent="0.3">
      <c r="A53" s="2">
        <v>45847</v>
      </c>
      <c r="B53" s="1">
        <v>211.14</v>
      </c>
      <c r="C53" s="1">
        <v>209.53</v>
      </c>
      <c r="D53" s="1">
        <v>211.33</v>
      </c>
      <c r="E53" s="1">
        <v>207.22</v>
      </c>
      <c r="F53" s="1" t="s">
        <v>202</v>
      </c>
      <c r="G53" s="3">
        <v>5.4000000000000003E-3</v>
      </c>
    </row>
    <row r="54" spans="1:7" x14ac:dyDescent="0.3">
      <c r="A54" s="2">
        <v>45848</v>
      </c>
      <c r="B54" s="1">
        <v>212.41</v>
      </c>
      <c r="C54" s="1">
        <v>210.51</v>
      </c>
      <c r="D54" s="1">
        <v>213.48</v>
      </c>
      <c r="E54" s="1">
        <v>210.03</v>
      </c>
      <c r="F54" s="1" t="s">
        <v>201</v>
      </c>
      <c r="G54" s="3">
        <v>6.0000000000000001E-3</v>
      </c>
    </row>
    <row r="55" spans="1:7" x14ac:dyDescent="0.3">
      <c r="A55" s="2">
        <v>45849</v>
      </c>
      <c r="B55" s="1">
        <v>211.16</v>
      </c>
      <c r="C55" s="1">
        <v>210.57</v>
      </c>
      <c r="D55" s="1">
        <v>212.13</v>
      </c>
      <c r="E55" s="1">
        <v>209.86</v>
      </c>
      <c r="F55" s="1" t="s">
        <v>200</v>
      </c>
      <c r="G55" s="3">
        <v>-5.8999999999999999E-3</v>
      </c>
    </row>
    <row r="56" spans="1:7" x14ac:dyDescent="0.3">
      <c r="A56" s="2">
        <v>45852</v>
      </c>
      <c r="B56" s="1">
        <v>208.62</v>
      </c>
      <c r="C56" s="1">
        <v>209.93</v>
      </c>
      <c r="D56" s="1">
        <v>210.91</v>
      </c>
      <c r="E56" s="1">
        <v>207.54</v>
      </c>
      <c r="F56" s="1" t="s">
        <v>199</v>
      </c>
      <c r="G56" s="3">
        <v>-1.2E-2</v>
      </c>
    </row>
    <row r="57" spans="1:7" x14ac:dyDescent="0.3">
      <c r="A57" s="2">
        <v>45853</v>
      </c>
      <c r="B57" s="1">
        <v>209.11</v>
      </c>
      <c r="C57" s="1">
        <v>209.22</v>
      </c>
      <c r="D57" s="1">
        <v>211.89</v>
      </c>
      <c r="E57" s="1">
        <v>208.92</v>
      </c>
      <c r="F57" s="1" t="s">
        <v>150</v>
      </c>
      <c r="G57" s="3">
        <v>2.3E-3</v>
      </c>
    </row>
    <row r="58" spans="1:7" x14ac:dyDescent="0.3">
      <c r="A58" s="2">
        <v>45854</v>
      </c>
      <c r="B58" s="1">
        <v>210.16</v>
      </c>
      <c r="C58" s="1">
        <v>210.29</v>
      </c>
      <c r="D58" s="1">
        <v>212.4</v>
      </c>
      <c r="E58" s="1">
        <v>208.64</v>
      </c>
      <c r="F58" s="1" t="s">
        <v>198</v>
      </c>
      <c r="G58" s="3">
        <v>5.0000000000000001E-3</v>
      </c>
    </row>
    <row r="59" spans="1:7" x14ac:dyDescent="0.3">
      <c r="A59" s="2">
        <v>45855</v>
      </c>
      <c r="B59" s="1">
        <v>210.02</v>
      </c>
      <c r="C59" s="1">
        <v>210.57</v>
      </c>
      <c r="D59" s="1">
        <v>211.8</v>
      </c>
      <c r="E59" s="1">
        <v>209.59</v>
      </c>
      <c r="F59" s="1" t="s">
        <v>197</v>
      </c>
      <c r="G59" s="3">
        <v>-6.9999999999999999E-4</v>
      </c>
    </row>
    <row r="60" spans="1:7" x14ac:dyDescent="0.3">
      <c r="A60" s="2">
        <v>45856</v>
      </c>
      <c r="B60" s="1">
        <v>211.18</v>
      </c>
      <c r="C60" s="1">
        <v>210.87</v>
      </c>
      <c r="D60" s="1">
        <v>211.79</v>
      </c>
      <c r="E60" s="1">
        <v>209.7</v>
      </c>
      <c r="F60" s="1" t="s">
        <v>196</v>
      </c>
      <c r="G60" s="3">
        <v>5.4999999999999997E-3</v>
      </c>
    </row>
    <row r="61" spans="1:7" x14ac:dyDescent="0.3">
      <c r="A61" s="2">
        <v>45859</v>
      </c>
      <c r="B61" s="1">
        <v>212.48</v>
      </c>
      <c r="C61" s="1">
        <v>212.1</v>
      </c>
      <c r="D61" s="1">
        <v>215.78</v>
      </c>
      <c r="E61" s="1">
        <v>211.63</v>
      </c>
      <c r="F61" s="1" t="s">
        <v>195</v>
      </c>
      <c r="G61" s="3">
        <v>6.1999999999999998E-3</v>
      </c>
    </row>
    <row r="62" spans="1:7" x14ac:dyDescent="0.3">
      <c r="A62" s="2">
        <v>45860</v>
      </c>
      <c r="B62" s="1">
        <v>214.4</v>
      </c>
      <c r="C62" s="1">
        <v>213.14</v>
      </c>
      <c r="D62" s="1">
        <v>214.95</v>
      </c>
      <c r="E62" s="1">
        <v>212.23</v>
      </c>
      <c r="F62" s="1" t="s">
        <v>194</v>
      </c>
      <c r="G62" s="3">
        <v>8.9999999999999993E-3</v>
      </c>
    </row>
    <row r="63" spans="1:7" x14ac:dyDescent="0.3">
      <c r="A63" s="2">
        <v>45861</v>
      </c>
      <c r="B63" s="1">
        <v>214.15</v>
      </c>
      <c r="C63" s="1">
        <v>215</v>
      </c>
      <c r="D63" s="1">
        <v>215.15</v>
      </c>
      <c r="E63" s="1">
        <v>212.41</v>
      </c>
      <c r="F63" s="1" t="s">
        <v>193</v>
      </c>
      <c r="G63" s="3">
        <v>-1.1999999999999999E-3</v>
      </c>
    </row>
    <row r="64" spans="1:7" x14ac:dyDescent="0.3">
      <c r="A64" s="2">
        <v>45862</v>
      </c>
      <c r="B64" s="1">
        <v>213.76</v>
      </c>
      <c r="C64" s="1">
        <v>213.9</v>
      </c>
      <c r="D64" s="1">
        <v>215.69</v>
      </c>
      <c r="E64" s="1">
        <v>213.53</v>
      </c>
      <c r="F64" s="1" t="s">
        <v>192</v>
      </c>
      <c r="G64" s="3">
        <v>-1.8E-3</v>
      </c>
    </row>
    <row r="65" spans="1:7" x14ac:dyDescent="0.3">
      <c r="A65" s="2">
        <v>45863</v>
      </c>
      <c r="B65" s="1">
        <v>213.88</v>
      </c>
      <c r="C65" s="1">
        <v>214.7</v>
      </c>
      <c r="D65" s="1">
        <v>215.24</v>
      </c>
      <c r="E65" s="1">
        <v>213.4</v>
      </c>
      <c r="F65" s="1" t="s">
        <v>191</v>
      </c>
      <c r="G65" s="3">
        <v>5.9999999999999995E-4</v>
      </c>
    </row>
    <row r="66" spans="1:7" x14ac:dyDescent="0.3">
      <c r="A66" s="2">
        <v>45866</v>
      </c>
      <c r="B66" s="1">
        <v>214.05</v>
      </c>
      <c r="C66" s="1">
        <v>214.03</v>
      </c>
      <c r="D66" s="1">
        <v>214.85</v>
      </c>
      <c r="E66" s="1">
        <v>213.06</v>
      </c>
      <c r="F66" s="1" t="s">
        <v>190</v>
      </c>
      <c r="G66" s="3">
        <v>8.0000000000000004E-4</v>
      </c>
    </row>
    <row r="67" spans="1:7" x14ac:dyDescent="0.3">
      <c r="A67" s="2">
        <v>45867</v>
      </c>
      <c r="B67" s="1">
        <v>211.27</v>
      </c>
      <c r="C67" s="1">
        <v>214.18</v>
      </c>
      <c r="D67" s="1">
        <v>214.81</v>
      </c>
      <c r="E67" s="1">
        <v>210.82</v>
      </c>
      <c r="F67" s="1" t="s">
        <v>189</v>
      </c>
      <c r="G67" s="3">
        <v>-1.2999999999999999E-2</v>
      </c>
    </row>
    <row r="68" spans="1:7" x14ac:dyDescent="0.3">
      <c r="A68" s="2">
        <v>45868</v>
      </c>
      <c r="B68" s="1">
        <v>209.05</v>
      </c>
      <c r="C68" s="1">
        <v>211.9</v>
      </c>
      <c r="D68" s="1">
        <v>212.39</v>
      </c>
      <c r="E68" s="1">
        <v>207.72</v>
      </c>
      <c r="F68" s="1" t="s">
        <v>188</v>
      </c>
      <c r="G68" s="3">
        <v>-1.0500000000000001E-2</v>
      </c>
    </row>
    <row r="69" spans="1:7" x14ac:dyDescent="0.3">
      <c r="A69" s="2">
        <v>45869</v>
      </c>
      <c r="B69" s="1">
        <v>207.57</v>
      </c>
      <c r="C69" s="1">
        <v>208.49</v>
      </c>
      <c r="D69" s="1">
        <v>209.84</v>
      </c>
      <c r="E69" s="1">
        <v>207.16</v>
      </c>
      <c r="F69" s="1" t="s">
        <v>187</v>
      </c>
      <c r="G69" s="3">
        <v>-7.1000000000000004E-3</v>
      </c>
    </row>
    <row r="70" spans="1:7" x14ac:dyDescent="0.3">
      <c r="A70" s="2">
        <v>45870</v>
      </c>
      <c r="B70" s="1">
        <v>202.38</v>
      </c>
      <c r="C70" s="1">
        <v>210.87</v>
      </c>
      <c r="D70" s="1">
        <v>213.58</v>
      </c>
      <c r="E70" s="1">
        <v>201.5</v>
      </c>
      <c r="F70" s="1" t="s">
        <v>186</v>
      </c>
      <c r="G70" s="3">
        <v>-2.5000000000000001E-2</v>
      </c>
    </row>
    <row r="71" spans="1:7" x14ac:dyDescent="0.3">
      <c r="A71" s="2">
        <v>45873</v>
      </c>
      <c r="B71" s="1">
        <v>203.35</v>
      </c>
      <c r="C71" s="1">
        <v>204.51</v>
      </c>
      <c r="D71" s="1">
        <v>207.88</v>
      </c>
      <c r="E71" s="1">
        <v>201.68</v>
      </c>
      <c r="F71" s="1" t="s">
        <v>185</v>
      </c>
      <c r="G71" s="3">
        <v>4.7999999999999996E-3</v>
      </c>
    </row>
    <row r="72" spans="1:7" x14ac:dyDescent="0.3">
      <c r="A72" s="2">
        <v>45874</v>
      </c>
      <c r="B72" s="1">
        <v>202.92</v>
      </c>
      <c r="C72" s="1">
        <v>203.4</v>
      </c>
      <c r="D72" s="1">
        <v>205.34</v>
      </c>
      <c r="E72" s="1">
        <v>202.16</v>
      </c>
      <c r="F72" s="1" t="s">
        <v>184</v>
      </c>
      <c r="G72" s="3">
        <v>-2.0999999999999999E-3</v>
      </c>
    </row>
    <row r="73" spans="1:7" x14ac:dyDescent="0.3">
      <c r="A73" s="2">
        <v>45875</v>
      </c>
      <c r="B73" s="1">
        <v>213.25</v>
      </c>
      <c r="C73" s="1">
        <v>205.63</v>
      </c>
      <c r="D73" s="1">
        <v>215.38</v>
      </c>
      <c r="E73" s="1">
        <v>205.59</v>
      </c>
      <c r="F73" s="1" t="s">
        <v>183</v>
      </c>
      <c r="G73" s="3">
        <v>5.0900000000000001E-2</v>
      </c>
    </row>
    <row r="74" spans="1:7" x14ac:dyDescent="0.3">
      <c r="A74" s="2">
        <v>45876</v>
      </c>
      <c r="B74" s="1">
        <v>220.03</v>
      </c>
      <c r="C74" s="1">
        <v>218.88</v>
      </c>
      <c r="D74" s="1">
        <v>220.85</v>
      </c>
      <c r="E74" s="1">
        <v>216.58</v>
      </c>
      <c r="F74" s="1" t="s">
        <v>182</v>
      </c>
      <c r="G74" s="3">
        <v>3.1800000000000002E-2</v>
      </c>
    </row>
    <row r="75" spans="1:7" x14ac:dyDescent="0.3">
      <c r="A75" s="2">
        <v>45877</v>
      </c>
      <c r="B75" s="1">
        <v>229.35</v>
      </c>
      <c r="C75" s="1">
        <v>220.83</v>
      </c>
      <c r="D75" s="1">
        <v>231</v>
      </c>
      <c r="E75" s="1">
        <v>219.25</v>
      </c>
      <c r="F75" s="1" t="s">
        <v>181</v>
      </c>
      <c r="G75" s="3">
        <v>4.24E-2</v>
      </c>
    </row>
    <row r="76" spans="1:7" x14ac:dyDescent="0.3">
      <c r="A76" s="2">
        <v>45880</v>
      </c>
      <c r="B76" s="1">
        <v>227.18</v>
      </c>
      <c r="C76" s="1">
        <v>227.92</v>
      </c>
      <c r="D76" s="1">
        <v>229.56</v>
      </c>
      <c r="E76" s="1">
        <v>224.76</v>
      </c>
      <c r="F76" s="1" t="s">
        <v>180</v>
      </c>
      <c r="G76" s="3">
        <v>-9.4999999999999998E-3</v>
      </c>
    </row>
    <row r="77" spans="1:7" x14ac:dyDescent="0.3">
      <c r="A77" s="2">
        <v>45881</v>
      </c>
      <c r="B77" s="1">
        <v>229.65</v>
      </c>
      <c r="C77" s="1">
        <v>228.01</v>
      </c>
      <c r="D77" s="1">
        <v>230.8</v>
      </c>
      <c r="E77" s="1">
        <v>227.07</v>
      </c>
      <c r="F77" s="1" t="s">
        <v>179</v>
      </c>
      <c r="G77" s="3">
        <v>1.09E-2</v>
      </c>
    </row>
    <row r="78" spans="1:7" x14ac:dyDescent="0.3">
      <c r="A78" s="2">
        <v>45882</v>
      </c>
      <c r="B78" s="1">
        <v>233.33</v>
      </c>
      <c r="C78" s="1">
        <v>231.07</v>
      </c>
      <c r="D78" s="1">
        <v>235</v>
      </c>
      <c r="E78" s="1">
        <v>230.43</v>
      </c>
      <c r="F78" s="1" t="s">
        <v>178</v>
      </c>
      <c r="G78" s="3">
        <v>1.6E-2</v>
      </c>
    </row>
    <row r="79" spans="1:7" x14ac:dyDescent="0.3">
      <c r="A79" s="2">
        <v>45883</v>
      </c>
      <c r="B79" s="1">
        <v>232.78</v>
      </c>
      <c r="C79" s="1">
        <v>234.05</v>
      </c>
      <c r="D79" s="1">
        <v>235.12</v>
      </c>
      <c r="E79" s="1">
        <v>230.85</v>
      </c>
      <c r="F79" s="1" t="s">
        <v>177</v>
      </c>
      <c r="G79" s="3">
        <v>-2.3999999999999998E-3</v>
      </c>
    </row>
    <row r="80" spans="1:7" x14ac:dyDescent="0.3">
      <c r="A80" s="2">
        <v>45884</v>
      </c>
      <c r="B80" s="1">
        <v>231.59</v>
      </c>
      <c r="C80" s="1">
        <v>234</v>
      </c>
      <c r="D80" s="1">
        <v>234.28</v>
      </c>
      <c r="E80" s="1">
        <v>229.34</v>
      </c>
      <c r="F80" s="1" t="s">
        <v>176</v>
      </c>
      <c r="G80" s="3">
        <v>-5.1000000000000004E-3</v>
      </c>
    </row>
    <row r="81" spans="1:7" x14ac:dyDescent="0.3">
      <c r="A81" s="2">
        <v>45887</v>
      </c>
      <c r="B81" s="1">
        <v>230.89</v>
      </c>
      <c r="C81" s="1">
        <v>231.7</v>
      </c>
      <c r="D81" s="1">
        <v>233.12</v>
      </c>
      <c r="E81" s="1">
        <v>230.11</v>
      </c>
      <c r="F81" s="1" t="s">
        <v>175</v>
      </c>
      <c r="G81" s="3">
        <v>-3.0000000000000001E-3</v>
      </c>
    </row>
    <row r="82" spans="1:7" x14ac:dyDescent="0.3">
      <c r="A82" s="2">
        <v>45888</v>
      </c>
      <c r="B82" s="1">
        <v>230.56</v>
      </c>
      <c r="C82" s="1">
        <v>231.27</v>
      </c>
      <c r="D82" s="1">
        <v>232.87</v>
      </c>
      <c r="E82" s="1">
        <v>229.35</v>
      </c>
      <c r="F82" s="1" t="s">
        <v>174</v>
      </c>
      <c r="G82" s="3">
        <v>-1.4E-3</v>
      </c>
    </row>
    <row r="83" spans="1:7" x14ac:dyDescent="0.3">
      <c r="A83" s="2">
        <v>45889</v>
      </c>
      <c r="B83" s="1">
        <v>226.01</v>
      </c>
      <c r="C83" s="1">
        <v>229.98</v>
      </c>
      <c r="D83" s="1">
        <v>230.47</v>
      </c>
      <c r="E83" s="1">
        <v>225.77</v>
      </c>
      <c r="F83" s="1" t="s">
        <v>173</v>
      </c>
      <c r="G83" s="3">
        <v>-1.9699999999999999E-2</v>
      </c>
    </row>
    <row r="84" spans="1:7" x14ac:dyDescent="0.3">
      <c r="A84" s="2">
        <v>45890</v>
      </c>
      <c r="B84" s="1">
        <v>224.9</v>
      </c>
      <c r="C84" s="1">
        <v>226.27</v>
      </c>
      <c r="D84" s="1">
        <v>226.52</v>
      </c>
      <c r="E84" s="1">
        <v>223.78</v>
      </c>
      <c r="F84" s="1" t="s">
        <v>172</v>
      </c>
      <c r="G84" s="3">
        <v>-4.8999999999999998E-3</v>
      </c>
    </row>
    <row r="85" spans="1:7" x14ac:dyDescent="0.3">
      <c r="A85" s="2">
        <v>45891</v>
      </c>
      <c r="B85" s="1">
        <v>227.76</v>
      </c>
      <c r="C85" s="1">
        <v>226.17</v>
      </c>
      <c r="D85" s="1">
        <v>229.09</v>
      </c>
      <c r="E85" s="1">
        <v>225.41</v>
      </c>
      <c r="F85" s="1" t="s">
        <v>171</v>
      </c>
      <c r="G85" s="3">
        <v>1.2699999999999999E-2</v>
      </c>
    </row>
    <row r="86" spans="1:7" x14ac:dyDescent="0.3">
      <c r="A86" s="2">
        <v>45894</v>
      </c>
      <c r="B86" s="1">
        <v>227.16</v>
      </c>
      <c r="C86" s="1">
        <v>226.48</v>
      </c>
      <c r="D86" s="1">
        <v>229.3</v>
      </c>
      <c r="E86" s="1">
        <v>226.23</v>
      </c>
      <c r="F86" s="1" t="s">
        <v>170</v>
      </c>
      <c r="G86" s="3">
        <v>-2.5999999999999999E-3</v>
      </c>
    </row>
    <row r="87" spans="1:7" x14ac:dyDescent="0.3">
      <c r="A87" s="2">
        <v>45895</v>
      </c>
      <c r="B87" s="1">
        <v>229.31</v>
      </c>
      <c r="C87" s="1">
        <v>226.87</v>
      </c>
      <c r="D87" s="1">
        <v>229.49</v>
      </c>
      <c r="E87" s="1">
        <v>224.69</v>
      </c>
      <c r="F87" s="1" t="s">
        <v>169</v>
      </c>
      <c r="G87" s="3">
        <v>9.4999999999999998E-3</v>
      </c>
    </row>
    <row r="88" spans="1:7" x14ac:dyDescent="0.3">
      <c r="A88" s="2">
        <v>45896</v>
      </c>
      <c r="B88" s="1">
        <v>230.49</v>
      </c>
      <c r="C88" s="1">
        <v>228.61</v>
      </c>
      <c r="D88" s="1">
        <v>230.9</v>
      </c>
      <c r="E88" s="1">
        <v>228.26</v>
      </c>
      <c r="F88" s="1" t="s">
        <v>168</v>
      </c>
      <c r="G88" s="3">
        <v>5.1000000000000004E-3</v>
      </c>
    </row>
    <row r="89" spans="1:7" x14ac:dyDescent="0.3">
      <c r="A89" s="2">
        <v>45897</v>
      </c>
      <c r="B89" s="1">
        <v>232.56</v>
      </c>
      <c r="C89" s="1">
        <v>230.82</v>
      </c>
      <c r="D89" s="1">
        <v>233.41</v>
      </c>
      <c r="E89" s="1">
        <v>229.34</v>
      </c>
      <c r="F89" s="1" t="s">
        <v>167</v>
      </c>
      <c r="G89" s="3">
        <v>8.9999999999999993E-3</v>
      </c>
    </row>
    <row r="90" spans="1:7" x14ac:dyDescent="0.3">
      <c r="A90" s="2">
        <v>45898</v>
      </c>
      <c r="B90" s="1">
        <v>232.14</v>
      </c>
      <c r="C90" s="1">
        <v>232.51</v>
      </c>
      <c r="D90" s="1">
        <v>233.38</v>
      </c>
      <c r="E90" s="1">
        <v>231.37</v>
      </c>
      <c r="F90" s="1" t="s">
        <v>166</v>
      </c>
      <c r="G90" s="3">
        <v>-1.8E-3</v>
      </c>
    </row>
    <row r="91" spans="1:7" x14ac:dyDescent="0.3">
      <c r="A91" s="2">
        <v>45902</v>
      </c>
      <c r="B91" s="1">
        <v>229.72</v>
      </c>
      <c r="C91" s="1">
        <v>229.25</v>
      </c>
      <c r="D91" s="1">
        <v>230.85</v>
      </c>
      <c r="E91" s="1">
        <v>226.97</v>
      </c>
      <c r="F91" s="1" t="s">
        <v>165</v>
      </c>
      <c r="G91" s="3">
        <v>-1.04E-2</v>
      </c>
    </row>
    <row r="92" spans="1:7" x14ac:dyDescent="0.3">
      <c r="A92" s="2">
        <v>45903</v>
      </c>
      <c r="B92" s="1">
        <v>238.47</v>
      </c>
      <c r="C92" s="1">
        <v>237.21</v>
      </c>
      <c r="D92" s="1">
        <v>238.85</v>
      </c>
      <c r="E92" s="1">
        <v>234.36</v>
      </c>
      <c r="F92" s="1" t="s">
        <v>164</v>
      </c>
      <c r="G92" s="3">
        <v>3.8100000000000002E-2</v>
      </c>
    </row>
    <row r="93" spans="1:7" x14ac:dyDescent="0.3">
      <c r="A93" s="2">
        <v>45904</v>
      </c>
      <c r="B93" s="1">
        <v>239.78</v>
      </c>
      <c r="C93" s="1">
        <v>238.45</v>
      </c>
      <c r="D93" s="1">
        <v>239.9</v>
      </c>
      <c r="E93" s="1">
        <v>236.74</v>
      </c>
      <c r="F93" s="1" t="s">
        <v>163</v>
      </c>
      <c r="G93" s="3">
        <v>5.4999999999999997E-3</v>
      </c>
    </row>
    <row r="94" spans="1:7" x14ac:dyDescent="0.3">
      <c r="A94" s="2">
        <v>45905</v>
      </c>
      <c r="B94" s="1">
        <v>239.69</v>
      </c>
      <c r="C94" s="1">
        <v>239.99</v>
      </c>
      <c r="D94" s="1">
        <v>241.32</v>
      </c>
      <c r="E94" s="1">
        <v>238.49</v>
      </c>
      <c r="F94" s="1" t="s">
        <v>162</v>
      </c>
      <c r="G94" s="3">
        <v>-4.0000000000000002E-4</v>
      </c>
    </row>
    <row r="95" spans="1:7" x14ac:dyDescent="0.3">
      <c r="A95" s="2">
        <v>45908</v>
      </c>
      <c r="B95" s="1">
        <v>237.88</v>
      </c>
      <c r="C95" s="1">
        <v>239.3</v>
      </c>
      <c r="D95" s="1">
        <v>240.15</v>
      </c>
      <c r="E95" s="1">
        <v>236.34</v>
      </c>
      <c r="F95" s="1" t="s">
        <v>161</v>
      </c>
      <c r="G95" s="3">
        <v>-7.6E-3</v>
      </c>
    </row>
    <row r="96" spans="1:7" x14ac:dyDescent="0.3">
      <c r="A96" s="2">
        <v>45909</v>
      </c>
      <c r="B96" s="1">
        <v>234.35</v>
      </c>
      <c r="C96" s="1">
        <v>237</v>
      </c>
      <c r="D96" s="1">
        <v>238.78</v>
      </c>
      <c r="E96" s="1">
        <v>233.36</v>
      </c>
      <c r="F96" s="1" t="s">
        <v>160</v>
      </c>
      <c r="G96" s="3">
        <v>-1.4800000000000001E-2</v>
      </c>
    </row>
    <row r="97" spans="1:7" x14ac:dyDescent="0.3">
      <c r="A97" s="2">
        <v>45910</v>
      </c>
      <c r="B97" s="1">
        <v>226.79</v>
      </c>
      <c r="C97" s="1">
        <v>232.18</v>
      </c>
      <c r="D97" s="1">
        <v>232.42</v>
      </c>
      <c r="E97" s="1">
        <v>225.95</v>
      </c>
      <c r="F97" s="1" t="s">
        <v>159</v>
      </c>
      <c r="G97" s="3">
        <v>-3.2300000000000002E-2</v>
      </c>
    </row>
    <row r="98" spans="1:7" x14ac:dyDescent="0.3">
      <c r="A98" s="2">
        <v>45911</v>
      </c>
      <c r="B98" s="1">
        <v>230.03</v>
      </c>
      <c r="C98" s="1">
        <v>226.88</v>
      </c>
      <c r="D98" s="1">
        <v>230.45</v>
      </c>
      <c r="E98" s="1">
        <v>226.65</v>
      </c>
      <c r="F98" s="1" t="s">
        <v>10</v>
      </c>
      <c r="G98" s="3">
        <v>1.43E-2</v>
      </c>
    </row>
    <row r="99" spans="1:7" x14ac:dyDescent="0.3">
      <c r="A99" s="2">
        <v>45912</v>
      </c>
      <c r="B99" s="1">
        <v>234.07</v>
      </c>
      <c r="C99" s="1">
        <v>229.22</v>
      </c>
      <c r="D99" s="1">
        <v>234.51</v>
      </c>
      <c r="E99" s="1">
        <v>229.02</v>
      </c>
      <c r="F99" s="1" t="s">
        <v>158</v>
      </c>
      <c r="G99" s="3">
        <v>1.7600000000000001E-2</v>
      </c>
    </row>
    <row r="100" spans="1:7" x14ac:dyDescent="0.3">
      <c r="A100" s="2">
        <v>45915</v>
      </c>
      <c r="B100" s="1">
        <v>236.7</v>
      </c>
      <c r="C100" s="1">
        <v>237</v>
      </c>
      <c r="D100" s="1">
        <v>238.19</v>
      </c>
      <c r="E100" s="1">
        <v>235.03</v>
      </c>
      <c r="F100" s="1" t="s">
        <v>157</v>
      </c>
      <c r="G100" s="3">
        <v>1.12E-2</v>
      </c>
    </row>
    <row r="101" spans="1:7" x14ac:dyDescent="0.3">
      <c r="A101" s="2">
        <v>45916</v>
      </c>
      <c r="B101" s="1">
        <v>238.15</v>
      </c>
      <c r="C101" s="1">
        <v>237.18</v>
      </c>
      <c r="D101" s="1">
        <v>241.22</v>
      </c>
      <c r="E101" s="1">
        <v>236.32</v>
      </c>
      <c r="F101" s="1" t="s">
        <v>156</v>
      </c>
      <c r="G101" s="3">
        <v>6.1000000000000004E-3</v>
      </c>
    </row>
    <row r="102" spans="1:7" x14ac:dyDescent="0.3">
      <c r="A102" s="2">
        <v>45917</v>
      </c>
      <c r="B102" s="1">
        <v>238.99</v>
      </c>
      <c r="C102" s="1">
        <v>238.97</v>
      </c>
      <c r="D102" s="1">
        <v>240.1</v>
      </c>
      <c r="E102" s="1">
        <v>237.73</v>
      </c>
      <c r="F102" s="1" t="s">
        <v>155</v>
      </c>
      <c r="G102" s="3">
        <v>3.5000000000000001E-3</v>
      </c>
    </row>
    <row r="103" spans="1:7" x14ac:dyDescent="0.3">
      <c r="A103" s="2">
        <v>45918</v>
      </c>
      <c r="B103" s="1">
        <v>237.88</v>
      </c>
      <c r="C103" s="1">
        <v>239.97</v>
      </c>
      <c r="D103" s="1">
        <v>241.2</v>
      </c>
      <c r="E103" s="1">
        <v>236.65</v>
      </c>
      <c r="F103" s="1" t="s">
        <v>154</v>
      </c>
      <c r="G103" s="3">
        <v>-4.5999999999999999E-3</v>
      </c>
    </row>
    <row r="104" spans="1:7" x14ac:dyDescent="0.3">
      <c r="A104" s="2">
        <v>45919</v>
      </c>
      <c r="B104" s="1">
        <v>245.5</v>
      </c>
      <c r="C104" s="1">
        <v>241.23</v>
      </c>
      <c r="D104" s="1">
        <v>246.3</v>
      </c>
      <c r="E104" s="1">
        <v>240.21</v>
      </c>
      <c r="F104" s="1" t="s">
        <v>153</v>
      </c>
      <c r="G104" s="3">
        <v>3.2000000000000001E-2</v>
      </c>
    </row>
    <row r="105" spans="1:7" x14ac:dyDescent="0.3">
      <c r="A105" s="2">
        <v>45922</v>
      </c>
      <c r="B105" s="1">
        <v>256.08</v>
      </c>
      <c r="C105" s="1">
        <v>248.3</v>
      </c>
      <c r="D105" s="1">
        <v>256.64</v>
      </c>
      <c r="E105" s="1">
        <v>248.12</v>
      </c>
      <c r="F105" s="1" t="s">
        <v>152</v>
      </c>
      <c r="G105" s="3">
        <v>4.3099999999999999E-2</v>
      </c>
    </row>
    <row r="106" spans="1:7" x14ac:dyDescent="0.3">
      <c r="A106" s="2">
        <v>45923</v>
      </c>
      <c r="B106" s="1">
        <v>254.43</v>
      </c>
      <c r="C106" s="1">
        <v>255.88</v>
      </c>
      <c r="D106" s="1">
        <v>257.33999999999997</v>
      </c>
      <c r="E106" s="1">
        <v>253.58</v>
      </c>
      <c r="F106" s="1" t="s">
        <v>151</v>
      </c>
      <c r="G106" s="3">
        <v>-6.4000000000000003E-3</v>
      </c>
    </row>
    <row r="107" spans="1:7" x14ac:dyDescent="0.3">
      <c r="A107" s="2">
        <v>45924</v>
      </c>
      <c r="B107" s="1">
        <v>252.31</v>
      </c>
      <c r="C107" s="1">
        <v>255.22</v>
      </c>
      <c r="D107" s="1">
        <v>255.74</v>
      </c>
      <c r="E107" s="1">
        <v>251.04</v>
      </c>
      <c r="F107" s="1" t="s">
        <v>150</v>
      </c>
      <c r="G107" s="3">
        <v>-8.3000000000000001E-3</v>
      </c>
    </row>
    <row r="108" spans="1:7" x14ac:dyDescent="0.3">
      <c r="A108" s="2">
        <v>45925</v>
      </c>
      <c r="B108" s="1">
        <v>256.87</v>
      </c>
      <c r="C108" s="1">
        <v>253.21</v>
      </c>
      <c r="D108" s="1">
        <v>257.17</v>
      </c>
      <c r="E108" s="1">
        <v>251.71</v>
      </c>
      <c r="F108" s="1" t="s">
        <v>149</v>
      </c>
      <c r="G108" s="3">
        <v>1.8100000000000002E-2</v>
      </c>
    </row>
    <row r="109" spans="1:7" x14ac:dyDescent="0.3">
      <c r="A109" s="2">
        <v>45926</v>
      </c>
      <c r="B109" s="1">
        <v>255.46</v>
      </c>
      <c r="C109" s="1">
        <v>254.1</v>
      </c>
      <c r="D109" s="1">
        <v>257.60000000000002</v>
      </c>
      <c r="E109" s="1">
        <v>253.78</v>
      </c>
      <c r="F109" s="1" t="s">
        <v>148</v>
      </c>
      <c r="G109" s="3">
        <v>-5.4999999999999997E-3</v>
      </c>
    </row>
    <row r="110" spans="1:7" x14ac:dyDescent="0.3">
      <c r="A110" s="2">
        <v>45929</v>
      </c>
      <c r="B110" s="1">
        <v>254.43</v>
      </c>
      <c r="C110" s="1">
        <v>254.56</v>
      </c>
      <c r="D110" s="1">
        <v>255</v>
      </c>
      <c r="E110" s="1">
        <v>253.01</v>
      </c>
      <c r="F110" s="1" t="s">
        <v>147</v>
      </c>
      <c r="G110" s="3">
        <v>-4.0000000000000001E-3</v>
      </c>
    </row>
    <row r="111" spans="1:7" x14ac:dyDescent="0.3">
      <c r="A111" s="2">
        <v>45930</v>
      </c>
      <c r="B111" s="1">
        <v>254.63</v>
      </c>
      <c r="C111" s="1">
        <v>254.85</v>
      </c>
      <c r="D111" s="1">
        <v>255.92</v>
      </c>
      <c r="E111" s="1">
        <v>253.11</v>
      </c>
      <c r="F111" s="1" t="s">
        <v>146</v>
      </c>
      <c r="G111" s="3">
        <v>8.0000000000000004E-4</v>
      </c>
    </row>
    <row r="112" spans="1:7" x14ac:dyDescent="0.3">
      <c r="A112" s="2">
        <v>45931</v>
      </c>
      <c r="B112" s="1">
        <v>255.45</v>
      </c>
      <c r="C112" s="1">
        <v>255.04</v>
      </c>
      <c r="D112" s="1">
        <v>258.79000000000002</v>
      </c>
      <c r="E112" s="1">
        <v>254.93</v>
      </c>
      <c r="F112" s="1" t="s">
        <v>145</v>
      </c>
      <c r="G112" s="3">
        <v>3.2000000000000002E-3</v>
      </c>
    </row>
    <row r="113" spans="1:7" x14ac:dyDescent="0.3">
      <c r="A113" s="2">
        <v>45932</v>
      </c>
      <c r="B113" s="1">
        <v>257.13</v>
      </c>
      <c r="C113" s="1">
        <v>256.58</v>
      </c>
      <c r="D113" s="1">
        <v>258.18</v>
      </c>
      <c r="E113" s="1">
        <v>254.15</v>
      </c>
      <c r="F113" s="1" t="s">
        <v>144</v>
      </c>
      <c r="G113" s="3">
        <v>6.6E-3</v>
      </c>
    </row>
    <row r="114" spans="1:7" x14ac:dyDescent="0.3">
      <c r="A114" s="2">
        <v>45933</v>
      </c>
      <c r="B114" s="1">
        <v>258.02</v>
      </c>
      <c r="C114" s="1">
        <v>254.66</v>
      </c>
      <c r="D114" s="1">
        <v>259.24</v>
      </c>
      <c r="E114" s="1">
        <v>253.95</v>
      </c>
      <c r="F114" s="1" t="s">
        <v>143</v>
      </c>
      <c r="G114" s="3">
        <v>3.5000000000000001E-3</v>
      </c>
    </row>
    <row r="115" spans="1:7" x14ac:dyDescent="0.3">
      <c r="A115" s="2">
        <v>45936</v>
      </c>
      <c r="B115" s="1">
        <v>256.69</v>
      </c>
      <c r="C115" s="1">
        <v>257.99</v>
      </c>
      <c r="D115" s="1">
        <v>259.07</v>
      </c>
      <c r="E115" s="1">
        <v>255.05</v>
      </c>
      <c r="F115" s="1" t="s">
        <v>142</v>
      </c>
      <c r="G115" s="3">
        <v>-5.1999999999999998E-3</v>
      </c>
    </row>
    <row r="116" spans="1:7" x14ac:dyDescent="0.3">
      <c r="A116" s="2">
        <v>45937</v>
      </c>
      <c r="B116" s="1">
        <v>256.48</v>
      </c>
      <c r="C116" s="1">
        <v>256.8</v>
      </c>
      <c r="D116" s="1">
        <v>257.39999999999998</v>
      </c>
      <c r="E116" s="1">
        <v>255.43</v>
      </c>
      <c r="F116" s="1" t="s">
        <v>141</v>
      </c>
      <c r="G116" s="3">
        <v>-8.0000000000000004E-4</v>
      </c>
    </row>
    <row r="117" spans="1:7" x14ac:dyDescent="0.3">
      <c r="A117" s="2">
        <v>45938</v>
      </c>
      <c r="B117" s="1">
        <v>258.06</v>
      </c>
      <c r="C117" s="1">
        <v>256.52</v>
      </c>
      <c r="D117" s="1">
        <v>258.52</v>
      </c>
      <c r="E117" s="1">
        <v>256.11</v>
      </c>
      <c r="F117" s="1" t="s">
        <v>140</v>
      </c>
      <c r="G117" s="3">
        <v>6.1999999999999998E-3</v>
      </c>
    </row>
    <row r="118" spans="1:7" x14ac:dyDescent="0.3">
      <c r="A118" s="2">
        <v>45939</v>
      </c>
      <c r="B118" s="1">
        <v>254.04</v>
      </c>
      <c r="C118" s="1">
        <v>257.8</v>
      </c>
      <c r="D118" s="1">
        <v>258</v>
      </c>
      <c r="E118" s="1">
        <v>253.14</v>
      </c>
      <c r="F118" s="1" t="s">
        <v>139</v>
      </c>
      <c r="G118" s="3">
        <v>-1.5599999999999999E-2</v>
      </c>
    </row>
    <row r="119" spans="1:7" x14ac:dyDescent="0.3">
      <c r="A119" s="2">
        <v>45940</v>
      </c>
      <c r="B119" s="1">
        <v>245.27</v>
      </c>
      <c r="C119" s="1">
        <v>254.94</v>
      </c>
      <c r="D119" s="1">
        <v>256.38</v>
      </c>
      <c r="E119" s="1">
        <v>244</v>
      </c>
      <c r="F119" s="1" t="s">
        <v>138</v>
      </c>
      <c r="G119" s="3">
        <v>-3.4500000000000003E-2</v>
      </c>
    </row>
    <row r="120" spans="1:7" x14ac:dyDescent="0.3">
      <c r="A120" s="2">
        <v>45943</v>
      </c>
      <c r="B120" s="1">
        <v>247.66</v>
      </c>
      <c r="C120" s="1">
        <v>249.38</v>
      </c>
      <c r="D120" s="1">
        <v>249.69</v>
      </c>
      <c r="E120" s="1">
        <v>245.56</v>
      </c>
      <c r="F120" s="1" t="s">
        <v>137</v>
      </c>
      <c r="G120" s="3">
        <v>9.7000000000000003E-3</v>
      </c>
    </row>
    <row r="121" spans="1:7" x14ac:dyDescent="0.3">
      <c r="A121" s="2">
        <v>45944</v>
      </c>
      <c r="B121" s="1">
        <v>247.77</v>
      </c>
      <c r="C121" s="1">
        <v>246.6</v>
      </c>
      <c r="D121" s="1">
        <v>248.85</v>
      </c>
      <c r="E121" s="1">
        <v>244.7</v>
      </c>
      <c r="F121" s="1" t="s">
        <v>136</v>
      </c>
      <c r="G121" s="3">
        <v>4.0000000000000002E-4</v>
      </c>
    </row>
    <row r="122" spans="1:7" x14ac:dyDescent="0.3">
      <c r="A122" s="2">
        <v>45945</v>
      </c>
      <c r="B122" s="1">
        <v>249.34</v>
      </c>
      <c r="C122" s="1">
        <v>249.49</v>
      </c>
      <c r="D122" s="1">
        <v>251.82</v>
      </c>
      <c r="E122" s="1">
        <v>247.47</v>
      </c>
      <c r="F122" s="1" t="s">
        <v>135</v>
      </c>
      <c r="G122" s="3">
        <v>6.3E-3</v>
      </c>
    </row>
    <row r="123" spans="1:7" x14ac:dyDescent="0.3">
      <c r="A123" s="2">
        <v>45946</v>
      </c>
      <c r="B123" s="1">
        <v>247.45</v>
      </c>
      <c r="C123" s="1">
        <v>248.25</v>
      </c>
      <c r="D123" s="1">
        <v>249.04</v>
      </c>
      <c r="E123" s="1">
        <v>245.13</v>
      </c>
      <c r="F123" s="1" t="s">
        <v>134</v>
      </c>
      <c r="G123" s="3">
        <v>-7.6E-3</v>
      </c>
    </row>
    <row r="124" spans="1:7" x14ac:dyDescent="0.3">
      <c r="A124" s="2">
        <v>45947</v>
      </c>
      <c r="B124" s="1">
        <v>252.29</v>
      </c>
      <c r="C124" s="1">
        <v>248.02</v>
      </c>
      <c r="D124" s="1">
        <v>253.38</v>
      </c>
      <c r="E124" s="1">
        <v>247.27</v>
      </c>
      <c r="F124" s="1" t="s">
        <v>133</v>
      </c>
      <c r="G124" s="3">
        <v>1.9599999999999999E-2</v>
      </c>
    </row>
    <row r="125" spans="1:7" x14ac:dyDescent="0.3">
      <c r="A125" s="2">
        <v>45950</v>
      </c>
      <c r="B125" s="1">
        <v>262.24</v>
      </c>
      <c r="C125" s="1">
        <v>255.88</v>
      </c>
      <c r="D125" s="1">
        <v>264.38</v>
      </c>
      <c r="E125" s="1">
        <v>255.63</v>
      </c>
      <c r="F125" s="1" t="s">
        <v>132</v>
      </c>
      <c r="G125" s="3">
        <v>3.9399999999999998E-2</v>
      </c>
    </row>
    <row r="126" spans="1:7" x14ac:dyDescent="0.3">
      <c r="A126" s="2">
        <v>45951</v>
      </c>
      <c r="B126" s="1">
        <v>262.77</v>
      </c>
      <c r="C126" s="1">
        <v>261.88</v>
      </c>
      <c r="D126" s="1">
        <v>265.29000000000002</v>
      </c>
      <c r="E126" s="1">
        <v>261.83</v>
      </c>
      <c r="F126" s="1" t="s">
        <v>131</v>
      </c>
      <c r="G126" s="3">
        <v>2E-3</v>
      </c>
    </row>
    <row r="127" spans="1:7" x14ac:dyDescent="0.3">
      <c r="A127" s="2">
        <v>45952</v>
      </c>
      <c r="B127" s="1">
        <v>258.45</v>
      </c>
      <c r="C127" s="1">
        <v>262.64999999999998</v>
      </c>
      <c r="D127" s="1">
        <v>262.85000000000002</v>
      </c>
      <c r="E127" s="1">
        <v>255.43</v>
      </c>
      <c r="F127" s="1" t="s">
        <v>114</v>
      </c>
      <c r="G127" s="3">
        <v>-1.6400000000000001E-2</v>
      </c>
    </row>
    <row r="128" spans="1:7" x14ac:dyDescent="0.3">
      <c r="A128" s="2">
        <v>45953</v>
      </c>
      <c r="B128" s="1">
        <v>259.58</v>
      </c>
      <c r="C128" s="1">
        <v>259.94</v>
      </c>
      <c r="D128" s="1">
        <v>260.62</v>
      </c>
      <c r="E128" s="1">
        <v>258.01</v>
      </c>
      <c r="F128" s="1" t="s">
        <v>130</v>
      </c>
      <c r="G128" s="3">
        <v>4.4000000000000003E-3</v>
      </c>
    </row>
    <row r="129" spans="1:7" x14ac:dyDescent="0.3">
      <c r="A129" s="2">
        <v>45954</v>
      </c>
      <c r="B129" s="1">
        <v>262.82</v>
      </c>
      <c r="C129" s="1">
        <v>261.19</v>
      </c>
      <c r="D129" s="1">
        <v>264.13</v>
      </c>
      <c r="E129" s="1">
        <v>259.18</v>
      </c>
      <c r="F129" s="1" t="s">
        <v>129</v>
      </c>
      <c r="G129" s="3">
        <v>1.2500000000000001E-2</v>
      </c>
    </row>
    <row r="130" spans="1:7" x14ac:dyDescent="0.3">
      <c r="A130" s="2">
        <v>45957</v>
      </c>
      <c r="B130" s="1">
        <v>268.81</v>
      </c>
      <c r="C130" s="1">
        <v>264.88</v>
      </c>
      <c r="D130" s="1">
        <v>269.12</v>
      </c>
      <c r="E130" s="1">
        <v>264.64999999999998</v>
      </c>
      <c r="F130" s="1" t="s">
        <v>128</v>
      </c>
      <c r="G130" s="3">
        <v>2.2800000000000001E-2</v>
      </c>
    </row>
    <row r="131" spans="1:7" x14ac:dyDescent="0.3">
      <c r="A131" s="2">
        <v>45958</v>
      </c>
      <c r="B131" s="1">
        <v>269</v>
      </c>
      <c r="C131" s="1">
        <v>268.98</v>
      </c>
      <c r="D131" s="1">
        <v>269.89</v>
      </c>
      <c r="E131" s="1">
        <v>268.14999999999998</v>
      </c>
      <c r="F131" s="1" t="s">
        <v>127</v>
      </c>
      <c r="G131" s="3">
        <v>6.9999999999999999E-4</v>
      </c>
    </row>
    <row r="132" spans="1:7" x14ac:dyDescent="0.3">
      <c r="A132" s="2">
        <v>45959</v>
      </c>
      <c r="B132" s="1">
        <v>269.7</v>
      </c>
      <c r="C132" s="1">
        <v>269.27</v>
      </c>
      <c r="D132" s="1">
        <v>271.41000000000003</v>
      </c>
      <c r="E132" s="1">
        <v>267.11</v>
      </c>
      <c r="F132" s="1" t="s">
        <v>126</v>
      </c>
      <c r="G132" s="3">
        <v>2.5999999999999999E-3</v>
      </c>
    </row>
    <row r="133" spans="1:7" x14ac:dyDescent="0.3">
      <c r="A133" s="2">
        <v>45960</v>
      </c>
      <c r="B133" s="1">
        <v>271.39999999999998</v>
      </c>
      <c r="C133" s="1">
        <v>271.99</v>
      </c>
      <c r="D133" s="1">
        <v>274.14</v>
      </c>
      <c r="E133" s="1">
        <v>268.48</v>
      </c>
      <c r="F133" s="1" t="s">
        <v>125</v>
      </c>
      <c r="G133" s="3">
        <v>6.3E-3</v>
      </c>
    </row>
    <row r="134" spans="1:7" x14ac:dyDescent="0.3">
      <c r="A134" s="2">
        <v>45961</v>
      </c>
      <c r="B134" s="1">
        <v>270.37</v>
      </c>
      <c r="C134" s="1">
        <v>276.99</v>
      </c>
      <c r="D134" s="1">
        <v>277.32</v>
      </c>
      <c r="E134" s="1">
        <v>269.16000000000003</v>
      </c>
      <c r="F134" s="1" t="s">
        <v>124</v>
      </c>
      <c r="G134" s="3">
        <v>-3.8E-3</v>
      </c>
    </row>
    <row r="135" spans="1:7" x14ac:dyDescent="0.3">
      <c r="A135" s="2">
        <v>45964</v>
      </c>
      <c r="B135" s="1">
        <v>269.05</v>
      </c>
      <c r="C135" s="1">
        <v>270.42</v>
      </c>
      <c r="D135" s="1">
        <v>270.85000000000002</v>
      </c>
      <c r="E135" s="1">
        <v>266.25</v>
      </c>
      <c r="F135" s="1" t="s">
        <v>123</v>
      </c>
      <c r="G135" s="3">
        <v>-4.8999999999999998E-3</v>
      </c>
    </row>
    <row r="136" spans="1:7" x14ac:dyDescent="0.3">
      <c r="A136" s="2">
        <v>45965</v>
      </c>
      <c r="B136" s="1">
        <v>270.04000000000002</v>
      </c>
      <c r="C136" s="1">
        <v>268.33</v>
      </c>
      <c r="D136" s="1">
        <v>271.49</v>
      </c>
      <c r="E136" s="1">
        <v>267.61</v>
      </c>
      <c r="F136" s="1" t="s">
        <v>122</v>
      </c>
      <c r="G136" s="3">
        <v>3.7000000000000002E-3</v>
      </c>
    </row>
    <row r="137" spans="1:7" x14ac:dyDescent="0.3">
      <c r="A137" s="2">
        <v>45966</v>
      </c>
      <c r="B137" s="1">
        <v>270.14</v>
      </c>
      <c r="C137" s="1">
        <v>268.61</v>
      </c>
      <c r="D137" s="1">
        <v>271.7</v>
      </c>
      <c r="E137" s="1">
        <v>266.93</v>
      </c>
      <c r="F137" s="1" t="s">
        <v>121</v>
      </c>
      <c r="G137" s="3">
        <v>4.0000000000000002E-4</v>
      </c>
    </row>
    <row r="138" spans="1:7" x14ac:dyDescent="0.3">
      <c r="A138" s="2">
        <v>45967</v>
      </c>
      <c r="B138" s="1">
        <v>269.77</v>
      </c>
      <c r="C138" s="1">
        <v>267.89</v>
      </c>
      <c r="D138" s="1">
        <v>273.39999999999998</v>
      </c>
      <c r="E138" s="1">
        <v>267.89</v>
      </c>
      <c r="F138" s="1" t="s">
        <v>120</v>
      </c>
      <c r="G138" s="3">
        <v>-1.4E-3</v>
      </c>
    </row>
    <row r="139" spans="1:7" x14ac:dyDescent="0.3">
      <c r="A139" s="2">
        <v>45968</v>
      </c>
      <c r="B139" s="1">
        <v>268.47000000000003</v>
      </c>
      <c r="C139" s="1">
        <v>269.8</v>
      </c>
      <c r="D139" s="1">
        <v>272.29000000000002</v>
      </c>
      <c r="E139" s="1">
        <v>266.77</v>
      </c>
      <c r="F139" s="1" t="s">
        <v>119</v>
      </c>
      <c r="G139" s="3">
        <v>-4.7999999999999996E-3</v>
      </c>
    </row>
    <row r="140" spans="1:7" x14ac:dyDescent="0.3">
      <c r="A140" s="2">
        <v>45971</v>
      </c>
      <c r="B140" s="1">
        <v>269.43</v>
      </c>
      <c r="C140" s="1">
        <v>268.95999999999998</v>
      </c>
      <c r="D140" s="1">
        <v>273.73</v>
      </c>
      <c r="E140" s="1">
        <v>267.45</v>
      </c>
      <c r="F140" s="1" t="s">
        <v>118</v>
      </c>
      <c r="G140" s="3">
        <v>3.5999999999999999E-3</v>
      </c>
    </row>
    <row r="141" spans="1:7" x14ac:dyDescent="0.3">
      <c r="A141" s="2">
        <v>45972</v>
      </c>
      <c r="B141" s="1">
        <v>275.25</v>
      </c>
      <c r="C141" s="1">
        <v>269.81</v>
      </c>
      <c r="D141" s="1">
        <v>275.91000000000003</v>
      </c>
      <c r="E141" s="1">
        <v>269.8</v>
      </c>
      <c r="F141" s="1" t="s">
        <v>117</v>
      </c>
      <c r="G141" s="3">
        <v>2.1600000000000001E-2</v>
      </c>
    </row>
    <row r="142" spans="1:7" x14ac:dyDescent="0.3">
      <c r="A142" s="2">
        <v>45973</v>
      </c>
      <c r="B142" s="1">
        <v>273.47000000000003</v>
      </c>
      <c r="C142" s="1">
        <v>275</v>
      </c>
      <c r="D142" s="1">
        <v>275.73</v>
      </c>
      <c r="E142" s="1">
        <v>271.7</v>
      </c>
      <c r="F142" s="1" t="s">
        <v>116</v>
      </c>
      <c r="G142" s="3">
        <v>-6.4999999999999997E-3</v>
      </c>
    </row>
    <row r="143" spans="1:7" x14ac:dyDescent="0.3">
      <c r="A143" s="2">
        <v>45974</v>
      </c>
      <c r="B143" s="1">
        <v>272.95</v>
      </c>
      <c r="C143" s="1">
        <v>274.11</v>
      </c>
      <c r="D143" s="1">
        <v>276.7</v>
      </c>
      <c r="E143" s="1">
        <v>272.08999999999997</v>
      </c>
      <c r="F143" s="1" t="s">
        <v>23</v>
      </c>
      <c r="G143" s="3">
        <v>-1.9E-3</v>
      </c>
    </row>
    <row r="144" spans="1:7" x14ac:dyDescent="0.3">
      <c r="A144" s="2">
        <v>45975</v>
      </c>
      <c r="B144" s="1">
        <v>272.41000000000003</v>
      </c>
      <c r="C144" s="1">
        <v>271.05</v>
      </c>
      <c r="D144" s="1">
        <v>275.95999999999998</v>
      </c>
      <c r="E144" s="1">
        <v>269.60000000000002</v>
      </c>
      <c r="F144" s="1" t="s">
        <v>115</v>
      </c>
      <c r="G144" s="3">
        <v>-2E-3</v>
      </c>
    </row>
    <row r="145" spans="1:7" x14ac:dyDescent="0.3">
      <c r="A145" s="2">
        <v>45978</v>
      </c>
      <c r="B145" s="1">
        <v>267.45999999999998</v>
      </c>
      <c r="C145" s="1">
        <v>268.82</v>
      </c>
      <c r="D145" s="1">
        <v>270.49</v>
      </c>
      <c r="E145" s="1">
        <v>265.73</v>
      </c>
      <c r="F145" s="1" t="s">
        <v>114</v>
      </c>
      <c r="G145" s="3">
        <v>-1.8200000000000001E-2</v>
      </c>
    </row>
    <row r="146" spans="1:7" x14ac:dyDescent="0.3">
      <c r="A146" s="2">
        <v>45979</v>
      </c>
      <c r="B146" s="1">
        <v>267.44</v>
      </c>
      <c r="C146" s="1">
        <v>269.99</v>
      </c>
      <c r="D146" s="1">
        <v>270.70999999999998</v>
      </c>
      <c r="E146" s="1">
        <v>265.32</v>
      </c>
      <c r="F146" s="1" t="s">
        <v>113</v>
      </c>
      <c r="G146" s="3">
        <v>-1E-4</v>
      </c>
    </row>
    <row r="147" spans="1:7" x14ac:dyDescent="0.3">
      <c r="A147" s="2">
        <v>45980</v>
      </c>
      <c r="B147" s="1">
        <v>268.56</v>
      </c>
      <c r="C147" s="1">
        <v>265.52</v>
      </c>
      <c r="D147" s="1">
        <v>272.20999999999998</v>
      </c>
      <c r="E147" s="1">
        <v>265.5</v>
      </c>
      <c r="F147" s="1" t="s">
        <v>112</v>
      </c>
      <c r="G147" s="3">
        <v>4.1999999999999997E-3</v>
      </c>
    </row>
    <row r="148" spans="1:7" x14ac:dyDescent="0.3">
      <c r="A148" s="2">
        <v>45981</v>
      </c>
      <c r="B148" s="1">
        <v>266.25</v>
      </c>
      <c r="C148" s="1">
        <v>270.83</v>
      </c>
      <c r="D148" s="1">
        <v>275.43</v>
      </c>
      <c r="E148" s="1">
        <v>265.92</v>
      </c>
      <c r="F148" s="1" t="s">
        <v>111</v>
      </c>
      <c r="G148" s="3">
        <v>-8.6E-3</v>
      </c>
    </row>
    <row r="149" spans="1:7" x14ac:dyDescent="0.3">
      <c r="A149" s="2">
        <v>45982</v>
      </c>
      <c r="B149" s="1">
        <v>271.49</v>
      </c>
      <c r="C149" s="1">
        <v>265.95</v>
      </c>
      <c r="D149" s="1">
        <v>273.33</v>
      </c>
      <c r="E149" s="1">
        <v>265.67</v>
      </c>
      <c r="F149" s="1" t="s">
        <v>110</v>
      </c>
      <c r="G149" s="3">
        <v>1.9699999999999999E-2</v>
      </c>
    </row>
    <row r="150" spans="1:7" x14ac:dyDescent="0.3">
      <c r="A150" s="2">
        <v>45985</v>
      </c>
      <c r="B150" s="1">
        <v>275.92</v>
      </c>
      <c r="C150" s="1">
        <v>270.89999999999998</v>
      </c>
      <c r="D150" s="1">
        <v>277</v>
      </c>
      <c r="E150" s="1">
        <v>270.89999999999998</v>
      </c>
      <c r="F150" s="1" t="s">
        <v>109</v>
      </c>
      <c r="G150" s="3">
        <v>1.6299999999999999E-2</v>
      </c>
    </row>
    <row r="151" spans="1:7" x14ac:dyDescent="0.3">
      <c r="A151" s="2">
        <v>45986</v>
      </c>
      <c r="B151" s="1">
        <v>276.97000000000003</v>
      </c>
      <c r="C151" s="1">
        <v>275.27</v>
      </c>
      <c r="D151" s="1">
        <v>280.38</v>
      </c>
      <c r="E151" s="1">
        <v>275.25</v>
      </c>
      <c r="F151" s="1" t="s">
        <v>108</v>
      </c>
      <c r="G151" s="3">
        <v>3.8E-3</v>
      </c>
    </row>
    <row r="152" spans="1:7" x14ac:dyDescent="0.3">
      <c r="A152" s="2">
        <v>45987</v>
      </c>
      <c r="B152" s="1">
        <v>277.55</v>
      </c>
      <c r="C152" s="1">
        <v>276.95999999999998</v>
      </c>
      <c r="D152" s="1">
        <v>279.52999999999997</v>
      </c>
      <c r="E152" s="1">
        <v>276.63</v>
      </c>
      <c r="F152" s="1" t="s">
        <v>107</v>
      </c>
      <c r="G152" s="3">
        <v>2.0999999999999999E-3</v>
      </c>
    </row>
    <row r="153" spans="1:7" x14ac:dyDescent="0.3">
      <c r="A153" s="2">
        <v>45989</v>
      </c>
      <c r="B153" s="1">
        <v>278.85000000000002</v>
      </c>
      <c r="C153" s="1">
        <v>277.26</v>
      </c>
      <c r="D153" s="1">
        <v>279</v>
      </c>
      <c r="E153" s="1">
        <v>275.99</v>
      </c>
      <c r="F153" s="1" t="s">
        <v>106</v>
      </c>
      <c r="G153" s="3">
        <v>4.7000000000000002E-3</v>
      </c>
    </row>
    <row r="154" spans="1:7" x14ac:dyDescent="0.3">
      <c r="A154" s="2">
        <v>45992</v>
      </c>
      <c r="B154" s="1">
        <v>283.10000000000002</v>
      </c>
      <c r="C154" s="1">
        <v>278.01</v>
      </c>
      <c r="D154" s="1">
        <v>283.42</v>
      </c>
      <c r="E154" s="1">
        <v>276.14</v>
      </c>
      <c r="F154" s="1" t="s">
        <v>105</v>
      </c>
      <c r="G154" s="3">
        <v>1.52E-2</v>
      </c>
    </row>
    <row r="155" spans="1:7" x14ac:dyDescent="0.3">
      <c r="A155" s="2">
        <v>45993</v>
      </c>
      <c r="B155" s="1">
        <v>286.19</v>
      </c>
      <c r="C155" s="1">
        <v>283</v>
      </c>
      <c r="D155" s="1">
        <v>287.39999999999998</v>
      </c>
      <c r="E155" s="1">
        <v>282.63</v>
      </c>
      <c r="F155" s="1" t="s">
        <v>104</v>
      </c>
      <c r="G155" s="3">
        <v>1.09E-2</v>
      </c>
    </row>
    <row r="156" spans="1:7" x14ac:dyDescent="0.3">
      <c r="A156" s="2">
        <v>45994</v>
      </c>
      <c r="B156" s="1">
        <v>284.14999999999998</v>
      </c>
      <c r="C156" s="1">
        <v>286.2</v>
      </c>
      <c r="D156" s="1">
        <v>288.62</v>
      </c>
      <c r="E156" s="1">
        <v>283.3</v>
      </c>
      <c r="F156" s="1" t="s">
        <v>103</v>
      </c>
      <c r="G156" s="3">
        <v>-7.1000000000000004E-3</v>
      </c>
    </row>
    <row r="157" spans="1:7" x14ac:dyDescent="0.3">
      <c r="A157" s="2">
        <v>45995</v>
      </c>
      <c r="B157" s="1">
        <v>280.7</v>
      </c>
      <c r="C157" s="1">
        <v>284.10000000000002</v>
      </c>
      <c r="D157" s="1">
        <v>284.73</v>
      </c>
      <c r="E157" s="1">
        <v>278.58999999999997</v>
      </c>
      <c r="F157" s="1" t="s">
        <v>102</v>
      </c>
      <c r="G157" s="3">
        <v>-1.21E-2</v>
      </c>
    </row>
    <row r="158" spans="1:7" x14ac:dyDescent="0.3">
      <c r="A158" s="2">
        <v>45996</v>
      </c>
      <c r="B158" s="1">
        <v>278.77999999999997</v>
      </c>
      <c r="C158" s="1">
        <v>280.54000000000002</v>
      </c>
      <c r="D158" s="1">
        <v>281.14</v>
      </c>
      <c r="E158" s="1">
        <v>278.05</v>
      </c>
      <c r="F158" s="1" t="s">
        <v>101</v>
      </c>
      <c r="G158" s="3">
        <v>-6.7999999999999996E-3</v>
      </c>
    </row>
    <row r="159" spans="1:7" x14ac:dyDescent="0.3">
      <c r="A159" s="2">
        <v>45999</v>
      </c>
      <c r="B159" s="1">
        <v>277.89</v>
      </c>
      <c r="C159" s="1">
        <v>278.13</v>
      </c>
      <c r="D159" s="1">
        <v>279.67</v>
      </c>
      <c r="E159" s="1">
        <v>276.14999999999998</v>
      </c>
      <c r="F159" s="1" t="s">
        <v>100</v>
      </c>
      <c r="G159" s="3">
        <v>-3.2000000000000002E-3</v>
      </c>
    </row>
    <row r="160" spans="1:7" x14ac:dyDescent="0.3">
      <c r="A160" s="2">
        <v>46000</v>
      </c>
      <c r="B160" s="1">
        <v>277.18</v>
      </c>
      <c r="C160" s="1">
        <v>278.16000000000003</v>
      </c>
      <c r="D160" s="1">
        <v>280.02999999999997</v>
      </c>
      <c r="E160" s="1">
        <v>276.92</v>
      </c>
      <c r="F160" s="1" t="s">
        <v>99</v>
      </c>
      <c r="G160" s="3">
        <v>-2.5999999999999999E-3</v>
      </c>
    </row>
    <row r="161" spans="1:7" x14ac:dyDescent="0.3">
      <c r="A161" s="2">
        <v>46001</v>
      </c>
      <c r="B161" s="1">
        <v>278.77999999999997</v>
      </c>
      <c r="C161" s="1">
        <v>277.75</v>
      </c>
      <c r="D161" s="1">
        <v>279.75</v>
      </c>
      <c r="E161" s="1">
        <v>276.44</v>
      </c>
      <c r="F161" s="1" t="s">
        <v>98</v>
      </c>
      <c r="G161" s="3">
        <v>5.7999999999999996E-3</v>
      </c>
    </row>
    <row r="162" spans="1:7" x14ac:dyDescent="0.3">
      <c r="A162" s="2">
        <v>46002</v>
      </c>
      <c r="B162" s="1">
        <v>278.02999999999997</v>
      </c>
      <c r="C162" s="1">
        <v>279.10000000000002</v>
      </c>
      <c r="D162" s="1">
        <v>279.58999999999997</v>
      </c>
      <c r="E162" s="1">
        <v>273.81</v>
      </c>
      <c r="F162" s="1" t="s">
        <v>97</v>
      </c>
      <c r="G162" s="3">
        <v>-2.7000000000000001E-3</v>
      </c>
    </row>
    <row r="163" spans="1:7" x14ac:dyDescent="0.3">
      <c r="A163" s="2">
        <v>46003</v>
      </c>
      <c r="B163" s="1">
        <v>278.27999999999997</v>
      </c>
      <c r="C163" s="1">
        <v>277.89999999999998</v>
      </c>
      <c r="D163" s="1">
        <v>279.22000000000003</v>
      </c>
      <c r="E163" s="1">
        <v>276.82</v>
      </c>
      <c r="F163" s="1" t="s">
        <v>96</v>
      </c>
      <c r="G163" s="3">
        <v>8.9999999999999998E-4</v>
      </c>
    </row>
    <row r="164" spans="1:7" x14ac:dyDescent="0.3">
      <c r="A164" s="2">
        <v>46006</v>
      </c>
      <c r="B164" s="1">
        <v>274.11</v>
      </c>
      <c r="C164" s="1">
        <v>280.14999999999998</v>
      </c>
      <c r="D164" s="1">
        <v>280.14999999999998</v>
      </c>
      <c r="E164" s="1">
        <v>272.83999999999997</v>
      </c>
      <c r="F164" s="1" t="s">
        <v>95</v>
      </c>
      <c r="G164" s="3">
        <v>-1.4999999999999999E-2</v>
      </c>
    </row>
    <row r="165" spans="1:7" x14ac:dyDescent="0.3">
      <c r="A165" s="2">
        <v>46007</v>
      </c>
      <c r="B165" s="1">
        <v>274.61</v>
      </c>
      <c r="C165" s="1">
        <v>272.82</v>
      </c>
      <c r="D165" s="1">
        <v>275.5</v>
      </c>
      <c r="E165" s="1">
        <v>271.79000000000002</v>
      </c>
      <c r="F165" s="1" t="s">
        <v>94</v>
      </c>
      <c r="G165" s="3">
        <v>1.8E-3</v>
      </c>
    </row>
    <row r="166" spans="1:7" x14ac:dyDescent="0.3">
      <c r="A166" s="2">
        <v>46008</v>
      </c>
      <c r="B166" s="1">
        <v>271.83999999999997</v>
      </c>
      <c r="C166" s="1">
        <v>275.01</v>
      </c>
      <c r="D166" s="1">
        <v>276.16000000000003</v>
      </c>
      <c r="E166" s="1">
        <v>271.64</v>
      </c>
      <c r="F166" s="1" t="s">
        <v>93</v>
      </c>
      <c r="G166" s="3">
        <v>-1.01E-2</v>
      </c>
    </row>
    <row r="167" spans="1:7" x14ac:dyDescent="0.3">
      <c r="A167" s="2">
        <v>46009</v>
      </c>
      <c r="B167" s="1">
        <v>272.19</v>
      </c>
      <c r="C167" s="1">
        <v>273.61</v>
      </c>
      <c r="D167" s="1">
        <v>273.63</v>
      </c>
      <c r="E167" s="1">
        <v>266.95</v>
      </c>
      <c r="F167" s="1" t="s">
        <v>92</v>
      </c>
      <c r="G167" s="3">
        <v>1.2999999999999999E-3</v>
      </c>
    </row>
    <row r="168" spans="1:7" x14ac:dyDescent="0.3">
      <c r="A168" s="2">
        <v>46010</v>
      </c>
      <c r="B168" s="1">
        <v>273.67</v>
      </c>
      <c r="C168" s="1">
        <v>272.14</v>
      </c>
      <c r="D168" s="1">
        <v>274.60000000000002</v>
      </c>
      <c r="E168" s="1">
        <v>269.89999999999998</v>
      </c>
      <c r="F168" s="1" t="s">
        <v>91</v>
      </c>
      <c r="G168" s="3">
        <v>5.4000000000000003E-3</v>
      </c>
    </row>
    <row r="169" spans="1:7" x14ac:dyDescent="0.3">
      <c r="A169" s="2">
        <v>46013</v>
      </c>
      <c r="B169" s="1">
        <v>270.97000000000003</v>
      </c>
      <c r="C169" s="1">
        <v>272.86</v>
      </c>
      <c r="D169" s="1">
        <v>273.88</v>
      </c>
      <c r="E169" s="1">
        <v>270.51</v>
      </c>
      <c r="F169" s="1" t="s">
        <v>90</v>
      </c>
      <c r="G169" s="3">
        <v>-9.9000000000000008E-3</v>
      </c>
    </row>
    <row r="170" spans="1:7" x14ac:dyDescent="0.3">
      <c r="A170" s="2">
        <v>46014</v>
      </c>
      <c r="B170" s="1">
        <v>272.36</v>
      </c>
      <c r="C170" s="1">
        <v>270.83999999999997</v>
      </c>
      <c r="D170" s="1">
        <v>272.5</v>
      </c>
      <c r="E170" s="1">
        <v>269.56</v>
      </c>
      <c r="F170" s="1" t="s">
        <v>89</v>
      </c>
      <c r="G170" s="3">
        <v>5.1000000000000004E-3</v>
      </c>
    </row>
    <row r="171" spans="1:7" x14ac:dyDescent="0.3">
      <c r="A171" s="2">
        <v>46015</v>
      </c>
      <c r="B171" s="1">
        <v>273.81</v>
      </c>
      <c r="C171" s="1">
        <v>272.33999999999997</v>
      </c>
      <c r="D171" s="1">
        <v>275.43</v>
      </c>
      <c r="E171" s="1">
        <v>272.2</v>
      </c>
      <c r="F171" s="1" t="s">
        <v>88</v>
      </c>
      <c r="G171" s="3">
        <v>5.3E-3</v>
      </c>
    </row>
    <row r="172" spans="1:7" x14ac:dyDescent="0.3">
      <c r="A172" s="2">
        <v>46017</v>
      </c>
      <c r="B172" s="1">
        <v>273.39999999999998</v>
      </c>
      <c r="C172" s="1">
        <v>274.16000000000003</v>
      </c>
      <c r="D172" s="1">
        <v>275.37</v>
      </c>
      <c r="E172" s="1">
        <v>272.86</v>
      </c>
      <c r="F172" s="1" t="s">
        <v>87</v>
      </c>
      <c r="G172" s="3">
        <v>-1.5E-3</v>
      </c>
    </row>
    <row r="173" spans="1:7" x14ac:dyDescent="0.3">
      <c r="A173" s="2">
        <v>46020</v>
      </c>
      <c r="B173" s="1">
        <v>273.76</v>
      </c>
      <c r="C173" s="1">
        <v>272.69</v>
      </c>
      <c r="D173" s="1">
        <v>274.36</v>
      </c>
      <c r="E173" s="1">
        <v>272.35000000000002</v>
      </c>
      <c r="F173" s="1" t="s">
        <v>86</v>
      </c>
      <c r="G173" s="3">
        <v>1.2999999999999999E-3</v>
      </c>
    </row>
    <row r="174" spans="1:7" x14ac:dyDescent="0.3">
      <c r="A174" s="2">
        <v>46021</v>
      </c>
      <c r="B174" s="1">
        <v>273.08</v>
      </c>
      <c r="C174" s="1">
        <v>272.81</v>
      </c>
      <c r="D174" s="1">
        <v>274.08</v>
      </c>
      <c r="E174" s="1">
        <v>272.27999999999997</v>
      </c>
      <c r="F174" s="1" t="s">
        <v>85</v>
      </c>
      <c r="G174" s="3">
        <v>-2.5000000000000001E-3</v>
      </c>
    </row>
    <row r="175" spans="1:7" x14ac:dyDescent="0.3">
      <c r="A175" s="2">
        <v>46022</v>
      </c>
      <c r="B175" s="1">
        <v>271.86</v>
      </c>
      <c r="C175" s="1">
        <v>273.06</v>
      </c>
      <c r="D175" s="1">
        <v>273.68</v>
      </c>
      <c r="E175" s="1">
        <v>271.75</v>
      </c>
      <c r="F175" s="1" t="s">
        <v>84</v>
      </c>
      <c r="G175" s="3">
        <v>-4.4999999999999997E-3</v>
      </c>
    </row>
    <row r="176" spans="1:7" x14ac:dyDescent="0.3">
      <c r="A176" s="2">
        <v>46024</v>
      </c>
      <c r="B176" s="1">
        <v>271.01</v>
      </c>
      <c r="C176" s="1">
        <v>272.26</v>
      </c>
      <c r="D176" s="1">
        <v>277.83999999999997</v>
      </c>
      <c r="E176" s="1">
        <v>269</v>
      </c>
      <c r="F176" s="1" t="s">
        <v>83</v>
      </c>
      <c r="G176" s="3">
        <v>-3.0999999999999999E-3</v>
      </c>
    </row>
    <row r="177" spans="1:7" x14ac:dyDescent="0.3">
      <c r="A177" s="2">
        <v>46027</v>
      </c>
      <c r="B177" s="1">
        <v>267.26</v>
      </c>
      <c r="C177" s="1">
        <v>270.64</v>
      </c>
      <c r="D177" s="1">
        <v>271.51</v>
      </c>
      <c r="E177" s="1">
        <v>266.14</v>
      </c>
      <c r="F177" s="1" t="s">
        <v>82</v>
      </c>
      <c r="G177" s="3">
        <v>-1.38E-2</v>
      </c>
    </row>
    <row r="178" spans="1:7" x14ac:dyDescent="0.3">
      <c r="A178" s="2">
        <v>46028</v>
      </c>
      <c r="B178" s="1">
        <v>262.36</v>
      </c>
      <c r="C178" s="1">
        <v>267</v>
      </c>
      <c r="D178" s="1">
        <v>267.55</v>
      </c>
      <c r="E178" s="1">
        <v>262.12</v>
      </c>
      <c r="F178" s="1" t="s">
        <v>81</v>
      </c>
      <c r="G178" s="3">
        <v>-1.83E-2</v>
      </c>
    </row>
    <row r="179" spans="1:7" x14ac:dyDescent="0.3">
      <c r="A179" s="2">
        <v>46029</v>
      </c>
      <c r="B179" s="1">
        <v>260.33</v>
      </c>
      <c r="C179" s="1">
        <v>263.2</v>
      </c>
      <c r="D179" s="1">
        <v>263.68</v>
      </c>
      <c r="E179" s="1">
        <v>259.81</v>
      </c>
      <c r="F179" s="1" t="s">
        <v>80</v>
      </c>
      <c r="G179" s="3">
        <v>-7.7000000000000002E-3</v>
      </c>
    </row>
    <row r="180" spans="1:7" x14ac:dyDescent="0.3">
      <c r="A180" s="2">
        <v>46030</v>
      </c>
      <c r="B180" s="1">
        <v>259.04000000000002</v>
      </c>
      <c r="C180" s="1">
        <v>257.02</v>
      </c>
      <c r="D180" s="1">
        <v>259.29000000000002</v>
      </c>
      <c r="E180" s="1">
        <v>255.7</v>
      </c>
      <c r="F180" s="1" t="s">
        <v>79</v>
      </c>
      <c r="G180" s="3">
        <v>-5.0000000000000001E-3</v>
      </c>
    </row>
    <row r="181" spans="1:7" x14ac:dyDescent="0.3">
      <c r="A181" s="2">
        <v>46031</v>
      </c>
      <c r="B181" s="1">
        <v>259.37</v>
      </c>
      <c r="C181" s="1">
        <v>259.08</v>
      </c>
      <c r="D181" s="1">
        <v>260.20999999999998</v>
      </c>
      <c r="E181" s="1">
        <v>256.22000000000003</v>
      </c>
      <c r="F181" s="1" t="s">
        <v>78</v>
      </c>
      <c r="G181" s="3">
        <v>1.2999999999999999E-3</v>
      </c>
    </row>
    <row r="182" spans="1:7" x14ac:dyDescent="0.3">
      <c r="A182" s="2">
        <v>46034</v>
      </c>
      <c r="B182" s="1">
        <v>260.25</v>
      </c>
      <c r="C182" s="1">
        <v>259.16000000000003</v>
      </c>
      <c r="D182" s="1">
        <v>261.3</v>
      </c>
      <c r="E182" s="1">
        <v>256.8</v>
      </c>
      <c r="F182" s="1" t="s">
        <v>77</v>
      </c>
      <c r="G182" s="3">
        <v>3.3999999999999998E-3</v>
      </c>
    </row>
    <row r="183" spans="1:7" x14ac:dyDescent="0.3">
      <c r="A183" s="2">
        <v>46035</v>
      </c>
      <c r="B183" s="1">
        <v>261.05</v>
      </c>
      <c r="C183" s="1">
        <v>258.72000000000003</v>
      </c>
      <c r="D183" s="1">
        <v>261.81</v>
      </c>
      <c r="E183" s="1">
        <v>258.39</v>
      </c>
      <c r="F183" s="1" t="s">
        <v>76</v>
      </c>
      <c r="G183" s="3">
        <v>3.0999999999999999E-3</v>
      </c>
    </row>
    <row r="184" spans="1:7" x14ac:dyDescent="0.3">
      <c r="A184" s="2">
        <v>46036</v>
      </c>
      <c r="B184" s="1">
        <v>259.95999999999998</v>
      </c>
      <c r="C184" s="1">
        <v>259.49</v>
      </c>
      <c r="D184" s="1">
        <v>261.82</v>
      </c>
      <c r="E184" s="1">
        <v>256.70999999999998</v>
      </c>
      <c r="F184" s="1" t="s">
        <v>75</v>
      </c>
      <c r="G184" s="3">
        <v>-4.1999999999999997E-3</v>
      </c>
    </row>
    <row r="185" spans="1:7" x14ac:dyDescent="0.3">
      <c r="A185" s="2">
        <v>46037</v>
      </c>
      <c r="B185" s="1">
        <v>258.20999999999998</v>
      </c>
      <c r="C185" s="1">
        <v>260.64999999999998</v>
      </c>
      <c r="D185" s="1">
        <v>261.04000000000002</v>
      </c>
      <c r="E185" s="1">
        <v>257.05</v>
      </c>
      <c r="F185" s="1" t="s">
        <v>74</v>
      </c>
      <c r="G185" s="3">
        <v>-6.7000000000000002E-3</v>
      </c>
    </row>
    <row r="186" spans="1:7" x14ac:dyDescent="0.3">
      <c r="A186" s="2">
        <v>46038</v>
      </c>
      <c r="B186" s="1">
        <v>255.53</v>
      </c>
      <c r="C186" s="1">
        <v>257.89999999999998</v>
      </c>
      <c r="D186" s="1">
        <v>258.89999999999998</v>
      </c>
      <c r="E186" s="1">
        <v>254.93</v>
      </c>
      <c r="F186" s="1" t="s">
        <v>73</v>
      </c>
      <c r="G186" s="3">
        <v>-1.04E-2</v>
      </c>
    </row>
    <row r="187" spans="1:7" x14ac:dyDescent="0.3">
      <c r="A187" s="2">
        <v>46042</v>
      </c>
      <c r="B187" s="1">
        <v>246.7</v>
      </c>
      <c r="C187" s="1">
        <v>252.73</v>
      </c>
      <c r="D187" s="1">
        <v>254.79</v>
      </c>
      <c r="E187" s="1">
        <v>243.42</v>
      </c>
      <c r="F187" s="1" t="s">
        <v>72</v>
      </c>
      <c r="G187" s="3">
        <v>-3.4599999999999999E-2</v>
      </c>
    </row>
    <row r="188" spans="1:7" x14ac:dyDescent="0.3">
      <c r="A188" s="2">
        <v>46043</v>
      </c>
      <c r="B188" s="1">
        <v>247.65</v>
      </c>
      <c r="C188" s="1">
        <v>248.7</v>
      </c>
      <c r="D188" s="1">
        <v>251.56</v>
      </c>
      <c r="E188" s="1">
        <v>245.18</v>
      </c>
      <c r="F188" s="1" t="s">
        <v>71</v>
      </c>
      <c r="G188" s="3">
        <v>3.8999999999999998E-3</v>
      </c>
    </row>
    <row r="189" spans="1:7" x14ac:dyDescent="0.3">
      <c r="A189" s="2">
        <v>46044</v>
      </c>
      <c r="B189" s="1">
        <v>248.35</v>
      </c>
      <c r="C189" s="1">
        <v>249.2</v>
      </c>
      <c r="D189" s="1">
        <v>251</v>
      </c>
      <c r="E189" s="1">
        <v>248.15</v>
      </c>
      <c r="F189" s="1" t="s">
        <v>70</v>
      </c>
      <c r="G189" s="3">
        <v>2.8E-3</v>
      </c>
    </row>
    <row r="190" spans="1:7" x14ac:dyDescent="0.3">
      <c r="A190" s="2">
        <v>46045</v>
      </c>
      <c r="B190" s="1">
        <v>248.04</v>
      </c>
      <c r="C190" s="1">
        <v>247.32</v>
      </c>
      <c r="D190" s="1">
        <v>249.41</v>
      </c>
      <c r="E190" s="1">
        <v>244.68</v>
      </c>
      <c r="F190" s="1" t="s">
        <v>69</v>
      </c>
      <c r="G190" s="3">
        <v>-1.1999999999999999E-3</v>
      </c>
    </row>
    <row r="191" spans="1:7" x14ac:dyDescent="0.3">
      <c r="A191" s="2">
        <v>46048</v>
      </c>
      <c r="B191" s="1">
        <v>255.41</v>
      </c>
      <c r="C191" s="1">
        <v>251.48</v>
      </c>
      <c r="D191" s="1">
        <v>256.56</v>
      </c>
      <c r="E191" s="1">
        <v>249.8</v>
      </c>
      <c r="F191" s="1" t="s">
        <v>68</v>
      </c>
      <c r="G191" s="3">
        <v>2.9700000000000001E-2</v>
      </c>
    </row>
    <row r="192" spans="1:7" x14ac:dyDescent="0.3">
      <c r="A192" s="2">
        <v>46049</v>
      </c>
      <c r="B192" s="1">
        <v>258.27</v>
      </c>
      <c r="C192" s="1">
        <v>259.17</v>
      </c>
      <c r="D192" s="1">
        <v>261.95</v>
      </c>
      <c r="E192" s="1">
        <v>258.20999999999998</v>
      </c>
      <c r="F192" s="1" t="s">
        <v>67</v>
      </c>
      <c r="G192" s="3">
        <v>1.12E-2</v>
      </c>
    </row>
    <row r="193" spans="1:7" x14ac:dyDescent="0.3">
      <c r="A193" s="2">
        <v>46050</v>
      </c>
      <c r="B193" s="1">
        <v>256.44</v>
      </c>
      <c r="C193" s="1">
        <v>257.64999999999998</v>
      </c>
      <c r="D193" s="1">
        <v>258.86</v>
      </c>
      <c r="E193" s="1">
        <v>254.51</v>
      </c>
      <c r="F193" s="1" t="s">
        <v>66</v>
      </c>
      <c r="G193" s="3">
        <v>-7.1000000000000004E-3</v>
      </c>
    </row>
    <row r="194" spans="1:7" x14ac:dyDescent="0.3">
      <c r="A194" s="2">
        <v>46051</v>
      </c>
      <c r="B194" s="1">
        <v>258.27999999999997</v>
      </c>
      <c r="C194" s="1">
        <v>258</v>
      </c>
      <c r="D194" s="1">
        <v>259.64999999999998</v>
      </c>
      <c r="E194" s="1">
        <v>254.41</v>
      </c>
      <c r="F194" s="1" t="s">
        <v>65</v>
      </c>
      <c r="G194" s="3">
        <v>7.1999999999999998E-3</v>
      </c>
    </row>
    <row r="195" spans="1:7" x14ac:dyDescent="0.3">
      <c r="A195" s="2">
        <v>46052</v>
      </c>
      <c r="B195" s="1">
        <v>259.48</v>
      </c>
      <c r="C195" s="1">
        <v>255.16</v>
      </c>
      <c r="D195" s="1">
        <v>261.89999999999998</v>
      </c>
      <c r="E195" s="1">
        <v>252.18</v>
      </c>
      <c r="F195" s="1" t="s">
        <v>64</v>
      </c>
      <c r="G195" s="3">
        <v>4.5999999999999999E-3</v>
      </c>
    </row>
    <row r="196" spans="1:7" x14ac:dyDescent="0.3">
      <c r="A196" s="2">
        <v>46055</v>
      </c>
      <c r="B196" s="1">
        <v>270.01</v>
      </c>
      <c r="C196" s="1">
        <v>260.02999999999997</v>
      </c>
      <c r="D196" s="1">
        <v>270.49</v>
      </c>
      <c r="E196" s="1">
        <v>259.2</v>
      </c>
      <c r="F196" s="1" t="s">
        <v>63</v>
      </c>
      <c r="G196" s="3">
        <v>4.0599999999999997E-2</v>
      </c>
    </row>
    <row r="197" spans="1:7" x14ac:dyDescent="0.3">
      <c r="A197" s="2">
        <v>46056</v>
      </c>
      <c r="B197" s="1">
        <v>269.48</v>
      </c>
      <c r="C197" s="1">
        <v>269.2</v>
      </c>
      <c r="D197" s="1">
        <v>271.88</v>
      </c>
      <c r="E197" s="1">
        <v>267.61</v>
      </c>
      <c r="F197" s="1" t="s">
        <v>62</v>
      </c>
      <c r="G197" s="3">
        <v>-2E-3</v>
      </c>
    </row>
    <row r="198" spans="1:7" x14ac:dyDescent="0.3">
      <c r="A198" s="2">
        <v>46057</v>
      </c>
      <c r="B198" s="1">
        <v>276.49</v>
      </c>
      <c r="C198" s="1">
        <v>272.29000000000002</v>
      </c>
      <c r="D198" s="1">
        <v>278.95</v>
      </c>
      <c r="E198" s="1">
        <v>272.29000000000002</v>
      </c>
      <c r="F198" s="1" t="s">
        <v>61</v>
      </c>
      <c r="G198" s="3">
        <v>2.5999999999999999E-2</v>
      </c>
    </row>
    <row r="199" spans="1:7" x14ac:dyDescent="0.3">
      <c r="A199" s="2">
        <v>46058</v>
      </c>
      <c r="B199" s="1">
        <v>275.91000000000003</v>
      </c>
      <c r="C199" s="1">
        <v>278.13</v>
      </c>
      <c r="D199" s="1">
        <v>279.5</v>
      </c>
      <c r="E199" s="1">
        <v>273.23</v>
      </c>
      <c r="F199" s="1" t="s">
        <v>60</v>
      </c>
      <c r="G199" s="3">
        <v>-2.0999999999999999E-3</v>
      </c>
    </row>
    <row r="200" spans="1:7" x14ac:dyDescent="0.3">
      <c r="A200" s="2">
        <v>46059</v>
      </c>
      <c r="B200" s="1">
        <v>278.12</v>
      </c>
      <c r="C200" s="1">
        <v>277.12</v>
      </c>
      <c r="D200" s="1">
        <v>280.89999999999998</v>
      </c>
      <c r="E200" s="1">
        <v>276.92</v>
      </c>
      <c r="F200" s="1" t="s">
        <v>59</v>
      </c>
      <c r="G200" s="3">
        <v>8.0000000000000002E-3</v>
      </c>
    </row>
    <row r="201" spans="1:7" x14ac:dyDescent="0.3">
      <c r="A201" s="2">
        <v>46062</v>
      </c>
      <c r="B201" s="1">
        <v>274.62</v>
      </c>
      <c r="C201" s="1">
        <v>277.89999999999998</v>
      </c>
      <c r="D201" s="1">
        <v>278.2</v>
      </c>
      <c r="E201" s="1">
        <v>271.7</v>
      </c>
      <c r="F201" s="1" t="s">
        <v>58</v>
      </c>
      <c r="G201" s="3">
        <v>-1.26E-2</v>
      </c>
    </row>
    <row r="202" spans="1:7" x14ac:dyDescent="0.3">
      <c r="A202" s="2">
        <v>46063</v>
      </c>
      <c r="B202" s="1">
        <v>273.68</v>
      </c>
      <c r="C202" s="1">
        <v>274.89</v>
      </c>
      <c r="D202" s="1">
        <v>275.37</v>
      </c>
      <c r="E202" s="1">
        <v>272.94</v>
      </c>
      <c r="F202" s="1" t="s">
        <v>57</v>
      </c>
      <c r="G202" s="3">
        <v>-3.3999999999999998E-3</v>
      </c>
    </row>
    <row r="203" spans="1:7" x14ac:dyDescent="0.3">
      <c r="A203" s="2">
        <v>46064</v>
      </c>
      <c r="B203" s="1">
        <v>275.5</v>
      </c>
      <c r="C203" s="1">
        <v>274.7</v>
      </c>
      <c r="D203" s="1">
        <v>280.18</v>
      </c>
      <c r="E203" s="1">
        <v>274.45</v>
      </c>
      <c r="F203" s="1" t="s">
        <v>56</v>
      </c>
      <c r="G203" s="3">
        <v>6.7000000000000002E-3</v>
      </c>
    </row>
    <row r="204" spans="1:7" x14ac:dyDescent="0.3">
      <c r="A204" s="2">
        <v>46065</v>
      </c>
      <c r="B204" s="1">
        <v>261.73</v>
      </c>
      <c r="C204" s="1">
        <v>275.58999999999997</v>
      </c>
      <c r="D204" s="1">
        <v>275.72000000000003</v>
      </c>
      <c r="E204" s="1">
        <v>260.18</v>
      </c>
      <c r="F204" s="1" t="s">
        <v>55</v>
      </c>
      <c r="G204" s="3">
        <v>-0.05</v>
      </c>
    </row>
    <row r="205" spans="1:7" x14ac:dyDescent="0.3">
      <c r="A205" s="2">
        <v>46066</v>
      </c>
      <c r="B205" s="1">
        <v>255.78</v>
      </c>
      <c r="C205" s="1">
        <v>262.01</v>
      </c>
      <c r="D205" s="1">
        <v>262.23</v>
      </c>
      <c r="E205" s="1">
        <v>255.45</v>
      </c>
      <c r="F205" s="1" t="s">
        <v>54</v>
      </c>
      <c r="G205" s="3">
        <v>-2.2700000000000001E-2</v>
      </c>
    </row>
    <row r="206" spans="1:7" x14ac:dyDescent="0.3">
      <c r="A206" s="2">
        <v>46070</v>
      </c>
      <c r="B206" s="1">
        <v>263.88</v>
      </c>
      <c r="C206" s="1">
        <v>258.05</v>
      </c>
      <c r="D206" s="1">
        <v>266.29000000000002</v>
      </c>
      <c r="E206" s="1">
        <v>255.54</v>
      </c>
      <c r="F206" s="1" t="s">
        <v>53</v>
      </c>
      <c r="G206" s="3">
        <v>3.1699999999999999E-2</v>
      </c>
    </row>
    <row r="207" spans="1:7" x14ac:dyDescent="0.3">
      <c r="A207" s="2">
        <v>46071</v>
      </c>
      <c r="B207" s="1">
        <v>264.35000000000002</v>
      </c>
      <c r="C207" s="1">
        <v>263.60000000000002</v>
      </c>
      <c r="D207" s="1">
        <v>266.82</v>
      </c>
      <c r="E207" s="1">
        <v>262.45</v>
      </c>
      <c r="F207" s="1" t="s">
        <v>52</v>
      </c>
      <c r="G207" s="3">
        <v>1.8E-3</v>
      </c>
    </row>
    <row r="208" spans="1:7" x14ac:dyDescent="0.3">
      <c r="A208" s="2">
        <v>46072</v>
      </c>
      <c r="B208" s="1">
        <v>260.58</v>
      </c>
      <c r="C208" s="1">
        <v>262.60000000000002</v>
      </c>
      <c r="D208" s="1">
        <v>264.48</v>
      </c>
      <c r="E208" s="1">
        <v>260.05</v>
      </c>
      <c r="F208" s="1" t="s">
        <v>51</v>
      </c>
      <c r="G208" s="3">
        <v>-1.43E-2</v>
      </c>
    </row>
    <row r="209" spans="1:7" x14ac:dyDescent="0.3">
      <c r="A209" s="2">
        <v>46073</v>
      </c>
      <c r="B209" s="1">
        <v>264.58</v>
      </c>
      <c r="C209" s="1">
        <v>258.97000000000003</v>
      </c>
      <c r="D209" s="1">
        <v>264.75</v>
      </c>
      <c r="E209" s="1">
        <v>258.16000000000003</v>
      </c>
      <c r="F209" s="1" t="s">
        <v>50</v>
      </c>
      <c r="G209" s="3">
        <v>1.54E-2</v>
      </c>
    </row>
    <row r="210" spans="1:7" x14ac:dyDescent="0.3">
      <c r="A210" s="2">
        <v>46076</v>
      </c>
      <c r="B210" s="1">
        <v>266.18</v>
      </c>
      <c r="C210" s="1">
        <v>263.49</v>
      </c>
      <c r="D210" s="1">
        <v>269.43</v>
      </c>
      <c r="E210" s="1">
        <v>263.38</v>
      </c>
      <c r="F210" s="1" t="s">
        <v>49</v>
      </c>
      <c r="G210" s="3">
        <v>6.0000000000000001E-3</v>
      </c>
    </row>
    <row r="211" spans="1:7" x14ac:dyDescent="0.3">
      <c r="A211" s="2">
        <v>46077</v>
      </c>
      <c r="B211" s="1">
        <v>272.14</v>
      </c>
      <c r="C211" s="1">
        <v>267.86</v>
      </c>
      <c r="D211" s="1">
        <v>274.89</v>
      </c>
      <c r="E211" s="1">
        <v>267.70999999999998</v>
      </c>
      <c r="F211" s="1" t="s">
        <v>48</v>
      </c>
      <c r="G211" s="3">
        <v>2.24E-2</v>
      </c>
    </row>
    <row r="212" spans="1:7" x14ac:dyDescent="0.3">
      <c r="A212" s="2">
        <v>46078</v>
      </c>
      <c r="B212" s="1">
        <v>274.23</v>
      </c>
      <c r="C212" s="1">
        <v>271.77999999999997</v>
      </c>
      <c r="D212" s="1">
        <v>274.94</v>
      </c>
      <c r="E212" s="1">
        <v>271.05</v>
      </c>
      <c r="F212" s="1" t="s">
        <v>47</v>
      </c>
      <c r="G212" s="3">
        <v>7.7000000000000002E-3</v>
      </c>
    </row>
    <row r="213" spans="1:7" x14ac:dyDescent="0.3">
      <c r="A213" s="2">
        <v>46079</v>
      </c>
      <c r="B213" s="1">
        <v>272.95</v>
      </c>
      <c r="C213" s="1">
        <v>274.95</v>
      </c>
      <c r="D213" s="1">
        <v>276.11</v>
      </c>
      <c r="E213" s="1">
        <v>270.8</v>
      </c>
      <c r="F213" s="1" t="s">
        <v>46</v>
      </c>
      <c r="G213" s="3">
        <v>-4.7000000000000002E-3</v>
      </c>
    </row>
    <row r="214" spans="1:7" x14ac:dyDescent="0.3">
      <c r="A214" s="2">
        <v>46080</v>
      </c>
      <c r="B214" s="1">
        <v>264.18</v>
      </c>
      <c r="C214" s="1">
        <v>272.81</v>
      </c>
      <c r="D214" s="1">
        <v>272.81</v>
      </c>
      <c r="E214" s="1">
        <v>262.89</v>
      </c>
      <c r="F214" s="1" t="s">
        <v>45</v>
      </c>
      <c r="G214" s="3">
        <v>-3.2099999999999997E-2</v>
      </c>
    </row>
    <row r="215" spans="1:7" x14ac:dyDescent="0.3">
      <c r="A215" s="2">
        <v>46083</v>
      </c>
      <c r="B215" s="1">
        <v>264.72000000000003</v>
      </c>
      <c r="C215" s="1">
        <v>262.41000000000003</v>
      </c>
      <c r="D215" s="1">
        <v>266.52999999999997</v>
      </c>
      <c r="E215" s="1">
        <v>260.2</v>
      </c>
      <c r="F215" s="1" t="s">
        <v>44</v>
      </c>
      <c r="G215" s="3">
        <v>2E-3</v>
      </c>
    </row>
    <row r="216" spans="1:7" x14ac:dyDescent="0.3">
      <c r="A216" s="2">
        <v>46084</v>
      </c>
      <c r="B216" s="1">
        <v>263.75</v>
      </c>
      <c r="C216" s="1">
        <v>263.48</v>
      </c>
      <c r="D216" s="1">
        <v>265.56</v>
      </c>
      <c r="E216" s="1">
        <v>260.13</v>
      </c>
      <c r="F216" s="1" t="s">
        <v>43</v>
      </c>
      <c r="G216" s="3">
        <v>-3.7000000000000002E-3</v>
      </c>
    </row>
    <row r="217" spans="1:7" x14ac:dyDescent="0.3">
      <c r="A217" s="2">
        <v>46085</v>
      </c>
      <c r="B217" s="1">
        <v>262.52</v>
      </c>
      <c r="C217" s="1">
        <v>264.64999999999998</v>
      </c>
      <c r="D217" s="1">
        <v>266.14999999999998</v>
      </c>
      <c r="E217" s="1">
        <v>261.42</v>
      </c>
      <c r="F217" s="1" t="s">
        <v>42</v>
      </c>
      <c r="G217" s="3">
        <v>-4.7000000000000002E-3</v>
      </c>
    </row>
    <row r="218" spans="1:7" x14ac:dyDescent="0.3">
      <c r="A218" s="2">
        <v>46086</v>
      </c>
      <c r="B218" s="1">
        <v>260.29000000000002</v>
      </c>
      <c r="C218" s="1">
        <v>260.79000000000002</v>
      </c>
      <c r="D218" s="1">
        <v>261.55</v>
      </c>
      <c r="E218" s="1">
        <v>257.25</v>
      </c>
      <c r="F218" s="1" t="s">
        <v>41</v>
      </c>
      <c r="G218" s="3">
        <v>-8.5000000000000006E-3</v>
      </c>
    </row>
    <row r="219" spans="1:7" x14ac:dyDescent="0.3">
      <c r="A219" s="2">
        <v>46087</v>
      </c>
      <c r="B219" s="1">
        <v>257.45999999999998</v>
      </c>
      <c r="C219" s="1">
        <v>258.63</v>
      </c>
      <c r="D219" s="1">
        <v>258.77</v>
      </c>
      <c r="E219" s="1">
        <v>254.37</v>
      </c>
      <c r="F219" s="1" t="s">
        <v>40</v>
      </c>
      <c r="G219" s="3">
        <v>-1.09E-2</v>
      </c>
    </row>
    <row r="220" spans="1:7" x14ac:dyDescent="0.3">
      <c r="A220" s="2">
        <v>46090</v>
      </c>
      <c r="B220" s="1">
        <v>259.88</v>
      </c>
      <c r="C220" s="1">
        <v>255.69</v>
      </c>
      <c r="D220" s="1">
        <v>261.14999999999998</v>
      </c>
      <c r="E220" s="1">
        <v>253.68</v>
      </c>
      <c r="F220" s="1" t="s">
        <v>39</v>
      </c>
      <c r="G220" s="3">
        <v>9.4000000000000004E-3</v>
      </c>
    </row>
    <row r="221" spans="1:7" x14ac:dyDescent="0.3">
      <c r="A221" s="2">
        <v>46091</v>
      </c>
      <c r="B221" s="1">
        <v>260.83</v>
      </c>
      <c r="C221" s="1">
        <v>257.64</v>
      </c>
      <c r="D221" s="1">
        <v>262.48</v>
      </c>
      <c r="E221" s="1">
        <v>256.95</v>
      </c>
      <c r="F221" s="1" t="s">
        <v>38</v>
      </c>
      <c r="G221" s="3">
        <v>3.7000000000000002E-3</v>
      </c>
    </row>
    <row r="222" spans="1:7" x14ac:dyDescent="0.3">
      <c r="A222" s="2">
        <v>46092</v>
      </c>
      <c r="B222" s="1">
        <v>260.81</v>
      </c>
      <c r="C222" s="1">
        <v>261.08999999999997</v>
      </c>
      <c r="D222" s="1">
        <v>262.13</v>
      </c>
      <c r="E222" s="1">
        <v>259.55</v>
      </c>
      <c r="F222" s="1" t="s">
        <v>37</v>
      </c>
      <c r="G222" s="3">
        <v>-1E-4</v>
      </c>
    </row>
    <row r="223" spans="1:7" x14ac:dyDescent="0.3">
      <c r="A223" s="2">
        <v>46093</v>
      </c>
      <c r="B223" s="1">
        <v>255.76</v>
      </c>
      <c r="C223" s="1">
        <v>258.66000000000003</v>
      </c>
      <c r="D223" s="1">
        <v>258.95</v>
      </c>
      <c r="E223" s="1">
        <v>254.18</v>
      </c>
      <c r="F223" s="1" t="s">
        <v>36</v>
      </c>
      <c r="G223" s="3">
        <v>-1.9400000000000001E-2</v>
      </c>
    </row>
    <row r="224" spans="1:7" x14ac:dyDescent="0.3">
      <c r="A224" s="2">
        <v>46094</v>
      </c>
      <c r="B224" s="1">
        <v>250.12</v>
      </c>
      <c r="C224" s="1">
        <v>255.48</v>
      </c>
      <c r="D224" s="1">
        <v>256.33</v>
      </c>
      <c r="E224" s="1">
        <v>249.52</v>
      </c>
      <c r="F224" s="1" t="s">
        <v>35</v>
      </c>
      <c r="G224" s="3">
        <v>-2.2100000000000002E-2</v>
      </c>
    </row>
    <row r="225" spans="1:7" x14ac:dyDescent="0.3">
      <c r="A225" s="2">
        <v>46097</v>
      </c>
      <c r="B225" s="1">
        <v>252.82</v>
      </c>
      <c r="C225" s="1">
        <v>252.1</v>
      </c>
      <c r="D225" s="1">
        <v>253.88</v>
      </c>
      <c r="E225" s="1">
        <v>249.88</v>
      </c>
      <c r="F225" s="1" t="s">
        <v>34</v>
      </c>
      <c r="G225" s="3">
        <v>1.0800000000000001E-2</v>
      </c>
    </row>
    <row r="226" spans="1:7" x14ac:dyDescent="0.3">
      <c r="A226" s="2">
        <v>46098</v>
      </c>
      <c r="B226" s="1">
        <v>254.23</v>
      </c>
      <c r="C226" s="1">
        <v>252.96</v>
      </c>
      <c r="D226" s="1">
        <v>255.13</v>
      </c>
      <c r="E226" s="1">
        <v>252.18</v>
      </c>
      <c r="F226" s="1" t="s">
        <v>33</v>
      </c>
      <c r="G226" s="3">
        <v>5.5999999999999999E-3</v>
      </c>
    </row>
    <row r="227" spans="1:7" x14ac:dyDescent="0.3">
      <c r="A227" s="2">
        <v>46099</v>
      </c>
      <c r="B227" s="1">
        <v>249.94</v>
      </c>
      <c r="C227" s="1">
        <v>252.63</v>
      </c>
      <c r="D227" s="1">
        <v>254.94</v>
      </c>
      <c r="E227" s="1">
        <v>249</v>
      </c>
      <c r="F227" s="1" t="s">
        <v>32</v>
      </c>
      <c r="G227" s="3">
        <v>-1.6899999999999998E-2</v>
      </c>
    </row>
    <row r="228" spans="1:7" x14ac:dyDescent="0.3">
      <c r="A228" s="2">
        <v>46100</v>
      </c>
      <c r="B228" s="1">
        <v>248.96</v>
      </c>
      <c r="C228" s="1">
        <v>249.4</v>
      </c>
      <c r="D228" s="1">
        <v>251.83</v>
      </c>
      <c r="E228" s="1">
        <v>247.3</v>
      </c>
      <c r="F228" s="1" t="s">
        <v>31</v>
      </c>
      <c r="G228" s="3">
        <v>-3.8999999999999998E-3</v>
      </c>
    </row>
    <row r="229" spans="1:7" x14ac:dyDescent="0.3">
      <c r="A229" s="2">
        <v>46101</v>
      </c>
      <c r="B229" s="1">
        <v>247.99</v>
      </c>
      <c r="C229" s="1">
        <v>247.98</v>
      </c>
      <c r="D229" s="1">
        <v>249.2</v>
      </c>
      <c r="E229" s="1">
        <v>246</v>
      </c>
      <c r="F229" s="1" t="s">
        <v>30</v>
      </c>
      <c r="G229" s="3">
        <v>-3.8999999999999998E-3</v>
      </c>
    </row>
    <row r="230" spans="1:7" x14ac:dyDescent="0.3">
      <c r="A230" s="2">
        <v>46104</v>
      </c>
      <c r="B230" s="1">
        <v>251.49</v>
      </c>
      <c r="C230" s="1">
        <v>253.97</v>
      </c>
      <c r="D230" s="1">
        <v>254.6</v>
      </c>
      <c r="E230" s="1">
        <v>250.28</v>
      </c>
      <c r="F230" s="1" t="s">
        <v>29</v>
      </c>
      <c r="G230" s="3">
        <v>1.41E-2</v>
      </c>
    </row>
    <row r="231" spans="1:7" x14ac:dyDescent="0.3">
      <c r="A231" s="2">
        <v>46105</v>
      </c>
      <c r="B231" s="1">
        <v>251.64</v>
      </c>
      <c r="C231" s="1">
        <v>250.35</v>
      </c>
      <c r="D231" s="1">
        <v>254.82</v>
      </c>
      <c r="E231" s="1">
        <v>249.55</v>
      </c>
      <c r="F231" s="1" t="s">
        <v>28</v>
      </c>
      <c r="G231" s="3">
        <v>5.9999999999999995E-4</v>
      </c>
    </row>
    <row r="232" spans="1:7" x14ac:dyDescent="0.3">
      <c r="A232" s="2">
        <v>46106</v>
      </c>
      <c r="B232" s="1">
        <v>252.62</v>
      </c>
      <c r="C232" s="1">
        <v>254.1</v>
      </c>
      <c r="D232" s="1">
        <v>255</v>
      </c>
      <c r="E232" s="1">
        <v>251.6</v>
      </c>
      <c r="F232" s="1" t="s">
        <v>27</v>
      </c>
      <c r="G232" s="3">
        <v>3.8999999999999998E-3</v>
      </c>
    </row>
    <row r="233" spans="1:7" x14ac:dyDescent="0.3">
      <c r="A233" s="2">
        <v>46107</v>
      </c>
      <c r="B233" s="1">
        <v>252.89</v>
      </c>
      <c r="C233" s="1">
        <v>252.12</v>
      </c>
      <c r="D233" s="1">
        <v>257</v>
      </c>
      <c r="E233" s="1">
        <v>250.77</v>
      </c>
      <c r="F233" s="1" t="s">
        <v>26</v>
      </c>
      <c r="G233" s="3">
        <v>1.1000000000000001E-3</v>
      </c>
    </row>
    <row r="234" spans="1:7" x14ac:dyDescent="0.3">
      <c r="A234" s="2">
        <v>46108</v>
      </c>
      <c r="B234" s="1">
        <v>248.8</v>
      </c>
      <c r="C234" s="1">
        <v>253.9</v>
      </c>
      <c r="D234" s="1">
        <v>255.49</v>
      </c>
      <c r="E234" s="1">
        <v>248.07</v>
      </c>
      <c r="F234" s="1" t="s">
        <v>25</v>
      </c>
      <c r="G234" s="3">
        <v>-1.6199999999999999E-2</v>
      </c>
    </row>
    <row r="235" spans="1:7" x14ac:dyDescent="0.3">
      <c r="A235" s="2">
        <v>46111</v>
      </c>
      <c r="B235" s="1">
        <v>246.63</v>
      </c>
      <c r="C235" s="1">
        <v>250.07</v>
      </c>
      <c r="D235" s="1">
        <v>250.87</v>
      </c>
      <c r="E235" s="1">
        <v>245.51</v>
      </c>
      <c r="F235" s="1" t="s">
        <v>24</v>
      </c>
      <c r="G235" s="3">
        <v>-8.6999999999999994E-3</v>
      </c>
    </row>
    <row r="236" spans="1:7" x14ac:dyDescent="0.3">
      <c r="A236" s="2">
        <v>46112</v>
      </c>
      <c r="B236" s="1">
        <v>253.79</v>
      </c>
      <c r="C236" s="1">
        <v>247.91</v>
      </c>
      <c r="D236" s="1">
        <v>255.48</v>
      </c>
      <c r="E236" s="1">
        <v>247.1</v>
      </c>
      <c r="F236" s="1" t="s">
        <v>23</v>
      </c>
      <c r="G236" s="3">
        <v>2.9000000000000001E-2</v>
      </c>
    </row>
    <row r="237" spans="1:7" x14ac:dyDescent="0.3">
      <c r="A237" s="2">
        <v>46113</v>
      </c>
      <c r="B237" s="1">
        <v>255.63</v>
      </c>
      <c r="C237" s="1">
        <v>254.08</v>
      </c>
      <c r="D237" s="1">
        <v>256.18</v>
      </c>
      <c r="E237" s="1">
        <v>253.33</v>
      </c>
      <c r="F237" s="1" t="s">
        <v>22</v>
      </c>
      <c r="G237" s="3">
        <v>7.3000000000000001E-3</v>
      </c>
    </row>
    <row r="238" spans="1:7" x14ac:dyDescent="0.3">
      <c r="A238" s="2">
        <v>46114</v>
      </c>
      <c r="B238" s="1">
        <v>255.92</v>
      </c>
      <c r="C238" s="1">
        <v>254.2</v>
      </c>
      <c r="D238" s="1">
        <v>256.13</v>
      </c>
      <c r="E238" s="1">
        <v>250.65</v>
      </c>
      <c r="F238" s="1" t="s">
        <v>17</v>
      </c>
      <c r="G238" s="3">
        <v>1.1000000000000001E-3</v>
      </c>
    </row>
    <row r="239" spans="1:7" x14ac:dyDescent="0.3">
      <c r="A239" s="2">
        <v>46118</v>
      </c>
      <c r="B239" s="1">
        <v>258.86</v>
      </c>
      <c r="C239" s="1">
        <v>256.51</v>
      </c>
      <c r="D239" s="1">
        <v>262.16000000000003</v>
      </c>
      <c r="E239" s="1">
        <v>256.45999999999998</v>
      </c>
      <c r="F239" s="1" t="s">
        <v>21</v>
      </c>
      <c r="G239" s="3">
        <v>1.15E-2</v>
      </c>
    </row>
    <row r="240" spans="1:7" x14ac:dyDescent="0.3">
      <c r="A240" s="2">
        <v>46119</v>
      </c>
      <c r="B240" s="1">
        <v>253.5</v>
      </c>
      <c r="C240" s="1">
        <v>256.14999999999998</v>
      </c>
      <c r="D240" s="1">
        <v>256.2</v>
      </c>
      <c r="E240" s="1">
        <v>245.7</v>
      </c>
      <c r="F240" s="1" t="s">
        <v>20</v>
      </c>
      <c r="G240" s="3">
        <v>-2.07E-2</v>
      </c>
    </row>
    <row r="241" spans="1:7" x14ac:dyDescent="0.3">
      <c r="A241" s="2">
        <v>46120</v>
      </c>
      <c r="B241" s="1">
        <v>258.89999999999998</v>
      </c>
      <c r="C241" s="1">
        <v>258.45</v>
      </c>
      <c r="D241" s="1">
        <v>259.75</v>
      </c>
      <c r="E241" s="1">
        <v>256.52999999999997</v>
      </c>
      <c r="F241" s="1" t="s">
        <v>19</v>
      </c>
      <c r="G241" s="3">
        <v>2.1299999999999999E-2</v>
      </c>
    </row>
    <row r="242" spans="1:7" x14ac:dyDescent="0.3">
      <c r="A242" s="2">
        <v>46121</v>
      </c>
      <c r="B242" s="1">
        <v>260.49</v>
      </c>
      <c r="C242" s="1">
        <v>259</v>
      </c>
      <c r="D242" s="1">
        <v>261.12</v>
      </c>
      <c r="E242" s="1">
        <v>256.07</v>
      </c>
      <c r="F242" s="1" t="s">
        <v>18</v>
      </c>
      <c r="G242" s="3">
        <v>6.1000000000000004E-3</v>
      </c>
    </row>
    <row r="243" spans="1:7" x14ac:dyDescent="0.3">
      <c r="A243" s="2">
        <v>46122</v>
      </c>
      <c r="B243" s="1">
        <v>260.48</v>
      </c>
      <c r="C243" s="1">
        <v>259.98</v>
      </c>
      <c r="D243" s="1">
        <v>262.19</v>
      </c>
      <c r="E243" s="1">
        <v>259.02</v>
      </c>
      <c r="F243" s="1" t="s">
        <v>17</v>
      </c>
      <c r="G243" s="3">
        <v>0</v>
      </c>
    </row>
    <row r="244" spans="1:7" x14ac:dyDescent="0.3">
      <c r="A244" s="2">
        <v>46125</v>
      </c>
      <c r="B244" s="1">
        <v>259.2</v>
      </c>
      <c r="C244" s="1">
        <v>259.73</v>
      </c>
      <c r="D244" s="1">
        <v>260.18</v>
      </c>
      <c r="E244" s="1">
        <v>256.66000000000003</v>
      </c>
      <c r="F244" s="1" t="s">
        <v>16</v>
      </c>
      <c r="G244" s="3">
        <v>-4.8999999999999998E-3</v>
      </c>
    </row>
    <row r="245" spans="1:7" x14ac:dyDescent="0.3">
      <c r="A245" s="2">
        <v>46126</v>
      </c>
      <c r="B245" s="1">
        <v>258.83</v>
      </c>
      <c r="C245" s="1">
        <v>259.24</v>
      </c>
      <c r="D245" s="1">
        <v>261.93</v>
      </c>
      <c r="E245" s="1">
        <v>257.19</v>
      </c>
      <c r="F245" s="1" t="s">
        <v>15</v>
      </c>
      <c r="G245" s="3">
        <v>-1.4E-3</v>
      </c>
    </row>
    <row r="246" spans="1:7" x14ac:dyDescent="0.3">
      <c r="A246" s="2">
        <v>46127</v>
      </c>
      <c r="B246" s="1">
        <v>266.43</v>
      </c>
      <c r="C246" s="1">
        <v>258.16000000000003</v>
      </c>
      <c r="D246" s="1">
        <v>266.56</v>
      </c>
      <c r="E246" s="1">
        <v>257.81</v>
      </c>
      <c r="F246" s="1" t="s">
        <v>14</v>
      </c>
      <c r="G246" s="3">
        <v>2.9399999999999999E-2</v>
      </c>
    </row>
    <row r="247" spans="1:7" x14ac:dyDescent="0.3">
      <c r="A247" s="2">
        <v>46128</v>
      </c>
      <c r="B247" s="1">
        <v>263.39999999999998</v>
      </c>
      <c r="C247" s="1">
        <v>266.8</v>
      </c>
      <c r="D247" s="1">
        <v>267.16000000000003</v>
      </c>
      <c r="E247" s="1">
        <v>261.27</v>
      </c>
      <c r="F247" s="1" t="s">
        <v>13</v>
      </c>
      <c r="G247" s="3">
        <v>-1.14E-2</v>
      </c>
    </row>
    <row r="248" spans="1:7" x14ac:dyDescent="0.3">
      <c r="A248" s="2">
        <v>46129</v>
      </c>
      <c r="B248" s="1">
        <v>270.23</v>
      </c>
      <c r="C248" s="1">
        <v>266.95999999999998</v>
      </c>
      <c r="D248" s="1">
        <v>272.3</v>
      </c>
      <c r="E248" s="1">
        <v>266.72000000000003</v>
      </c>
      <c r="F248" s="1" t="s">
        <v>12</v>
      </c>
      <c r="G248" s="3">
        <v>2.5899999999999999E-2</v>
      </c>
    </row>
    <row r="249" spans="1:7" x14ac:dyDescent="0.3">
      <c r="A249" s="2">
        <v>46132</v>
      </c>
      <c r="B249" s="1">
        <v>273.05</v>
      </c>
      <c r="C249" s="1">
        <v>270.33</v>
      </c>
      <c r="D249" s="1">
        <v>274.27</v>
      </c>
      <c r="E249" s="1">
        <v>270.29000000000002</v>
      </c>
      <c r="F249" s="1" t="s">
        <v>11</v>
      </c>
      <c r="G249" s="3">
        <v>1.04E-2</v>
      </c>
    </row>
    <row r="250" spans="1:7" x14ac:dyDescent="0.3">
      <c r="A250" s="2">
        <v>46133</v>
      </c>
      <c r="B250" s="1">
        <v>266.17</v>
      </c>
      <c r="C250" s="1">
        <v>271.5</v>
      </c>
      <c r="D250" s="1">
        <v>272.8</v>
      </c>
      <c r="E250" s="1">
        <v>265.39999999999998</v>
      </c>
      <c r="F250" s="1" t="s">
        <v>10</v>
      </c>
      <c r="G250" s="3">
        <v>-2.52E-2</v>
      </c>
    </row>
    <row r="251" spans="1:7" x14ac:dyDescent="0.3">
      <c r="A251" s="2">
        <v>46134</v>
      </c>
      <c r="B251" s="1">
        <v>273.17</v>
      </c>
      <c r="C251" s="1">
        <v>267.82</v>
      </c>
      <c r="D251" s="1">
        <v>273.74</v>
      </c>
      <c r="E251" s="1">
        <v>266.87</v>
      </c>
      <c r="F251" s="1" t="s">
        <v>9</v>
      </c>
      <c r="G251" s="3">
        <v>2.63E-2</v>
      </c>
    </row>
    <row r="252" spans="1:7" x14ac:dyDescent="0.3">
      <c r="A252" s="2">
        <v>46135</v>
      </c>
      <c r="B252" s="1">
        <v>273.43</v>
      </c>
      <c r="C252" s="1">
        <v>275.05</v>
      </c>
      <c r="D252" s="1">
        <v>275.77</v>
      </c>
      <c r="E252" s="1">
        <v>271.64999999999998</v>
      </c>
      <c r="F252" s="1" t="s">
        <v>8</v>
      </c>
      <c r="G252" s="3">
        <v>1E-3</v>
      </c>
    </row>
    <row r="253" spans="1:7" x14ac:dyDescent="0.3">
      <c r="A253" s="2">
        <v>46136</v>
      </c>
      <c r="B253" s="1">
        <v>271.06</v>
      </c>
      <c r="C253" s="1">
        <v>272.76</v>
      </c>
      <c r="D253" s="1">
        <v>273.06</v>
      </c>
      <c r="E253" s="1">
        <v>269.64999999999998</v>
      </c>
      <c r="F253" s="1" t="s">
        <v>7</v>
      </c>
      <c r="G253" s="3">
        <v>-8.6999999999999994E-3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Analysis</vt:lpstr>
      <vt:lpstr>Apple Stock Price 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Isabel Chong</dc:creator>
  <cp:lastModifiedBy>ISABEL CHONG SUI YING</cp:lastModifiedBy>
  <cp:lastPrinted>2026-04-26T06:48:52Z</cp:lastPrinted>
  <dcterms:created xsi:type="dcterms:W3CDTF">2026-04-26T04:57:57Z</dcterms:created>
  <dcterms:modified xsi:type="dcterms:W3CDTF">2026-04-28T11:10:25Z</dcterms:modified>
</cp:coreProperties>
</file>